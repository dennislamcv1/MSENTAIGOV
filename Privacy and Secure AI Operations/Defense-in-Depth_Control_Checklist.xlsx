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ontrol Checklist" sheetId="2" r:id="rId5"/>
    <sheet state="visible" name="Identified Gaps" sheetId="3" r:id="rId6"/>
  </sheets>
  <definedNames/>
  <calcPr/>
  <extLst>
    <ext uri="GoogleSheetsCustomDataVersion2">
      <go:sheetsCustomData xmlns:go="http://customooxmlschemas.google.com/" r:id="rId7" roundtripDataChecksum="wLPeq66amj9oPBJxlY8XymhhheMrZ8uqzLIDw+KUg/I="/>
    </ext>
  </extLst>
</workbook>
</file>

<file path=xl/sharedStrings.xml><?xml version="1.0" encoding="utf-8"?>
<sst xmlns="http://schemas.openxmlformats.org/spreadsheetml/2006/main" count="102" uniqueCount="83">
  <si>
    <t>Contoso Health Partners</t>
  </si>
  <si>
    <t>AML DEFENCE-IN-DEPTH SECURITY CONFIGURATION DASHBOARD</t>
  </si>
  <si>
    <t>Summary Metric</t>
  </si>
  <si>
    <t>Value</t>
  </si>
  <si>
    <t>Status</t>
  </si>
  <si>
    <t>Count</t>
  </si>
  <si>
    <t>Total Security Controls Reviewed</t>
  </si>
  <si>
    <t>Compliant</t>
  </si>
  <si>
    <t>Compliant Controls</t>
  </si>
  <si>
    <t>Partially Compliant</t>
  </si>
  <si>
    <t>Partially Compliant Controls</t>
  </si>
  <si>
    <t>Non-Compliant</t>
  </si>
  <si>
    <t>Non-Compliant Controls (Critical Gaps)</t>
  </si>
  <si>
    <t>Systemic Compliance Score</t>
  </si>
  <si>
    <t>AML CONFIGURATION REVIEW — DEFENCE-IN-DEPTH LAYERS</t>
  </si>
  <si>
    <t>Control ID</t>
  </si>
  <si>
    <t>Defence Layer</t>
  </si>
  <si>
    <t>Security Control Named Requirement</t>
  </si>
  <si>
    <t>Evaluation Metric / Testing Standard</t>
  </si>
  <si>
    <t>Current Status</t>
  </si>
  <si>
    <t>Notes / Findings Summary</t>
  </si>
  <si>
    <t>C1.1</t>
  </si>
  <si>
    <t>Layer 1: Network &amp; Infra</t>
  </si>
  <si>
    <t>API Rate Limiting &amp; Throttling</t>
  </si>
  <si>
    <t>Enforce strict transaction-per-minute caps on endpoints to stop high-frequency query exhaustion.</t>
  </si>
  <si>
    <t>Configured at API gateway; successfully drops bursts exceeding 100 requests/min.</t>
  </si>
  <si>
    <t>C1.2</t>
  </si>
  <si>
    <t>Network Boundary Isolation</t>
  </si>
  <si>
    <t>Deploy private links and isolated Virtual Networks ensuring zero external exposure of model subnets.</t>
  </si>
  <si>
    <t>Backend subnets run on strictly internal addresses with zero public routes.</t>
  </si>
  <si>
    <t>C1.3</t>
  </si>
  <si>
    <t>WAF OWASP Top 10 LLM Rules</t>
  </si>
  <si>
    <t>Deploy tailored application layer firewall inspection filtering direct injection token anomalies.</t>
  </si>
  <si>
    <t>CRITICAL GAP: WAF operates generic web firewall rules only; entirely lacks LLM-specific filters.</t>
  </si>
  <si>
    <t>C2.1</t>
  </si>
  <si>
    <t>Layer 2: Model Application</t>
  </si>
  <si>
    <t>Input Validation &amp; Content Filtering</t>
  </si>
  <si>
    <t>Enforce pattern matching and automated content screening models to detect malicious system prompts.</t>
  </si>
  <si>
    <t>WEAK MITIGATION: Basic regex filtering is active but easily bypassed by semantic obfuscation scripts.</t>
  </si>
  <si>
    <t>C2.2</t>
  </si>
  <si>
    <t>Structural Output Validation</t>
  </si>
  <si>
    <t>Enforce strict JSON validation and regex structural sanitization to stop execution leakage.</t>
  </si>
  <si>
    <t>Output schemas are hard-validated against strict pydantic definitions before routing.</t>
  </si>
  <si>
    <t>C2.3</t>
  </si>
  <si>
    <t>Real-Time Telemetry &amp; Alerts</t>
  </si>
  <si>
    <t>Continuous logging of prompt lengths, embedding vectors, and model logit entropy drops.</t>
  </si>
  <si>
    <t>Integrated with Azure Monitor; anomalies flag automated SIEM operational alerts.</t>
  </si>
  <si>
    <t>C3.1</t>
  </si>
  <si>
    <t>Layer 3: Data &amp; Governance</t>
  </si>
  <si>
    <t>Cryptographic Data Ingestion Hashing</t>
  </si>
  <si>
    <t>Verify structural data integrity of the training corpus and RAG libraries with immutable hash chains.</t>
  </si>
  <si>
    <t>CRITICAL GAP: Ingestion lacks automated validation; pipeline susceptible to rogue data poisoning.</t>
  </si>
  <si>
    <t>C3.2</t>
  </si>
  <si>
    <t>ABAC &amp; RBAC Access Controls</t>
  </si>
  <si>
    <t>Restrict model parameter file read/write access to named operational machine learning roles.</t>
  </si>
  <si>
    <t>Enforced via IAM roles; strict dual-author validation required for deployment changes.</t>
  </si>
  <si>
    <t>C3.3</t>
  </si>
  <si>
    <t>Differential Privacy (DP-SGD)</t>
  </si>
  <si>
    <t>Integrate bounded Gaussian noise parameters to block training sample membership inference attacks.</t>
  </si>
  <si>
    <t>CRITICAL GAP: Retraining pipelines lack DP-SGD integration, creating data memorization exposure.</t>
  </si>
  <si>
    <t>CALCULATED SUMMARY SUMMARY STATISTICS</t>
  </si>
  <si>
    <t>Total Controls Reviewed:</t>
  </si>
  <si>
    <t>Compliant Status Count:</t>
  </si>
  <si>
    <t>Partially Compliant Count:</t>
  </si>
  <si>
    <t>Non-Compliant Count:</t>
  </si>
  <si>
    <t>Compliance Score Rate:</t>
  </si>
  <si>
    <t>IDENTIFIED AML SECURITY POSTURE GAPS &amp; EXPOSURE ANALYSIS</t>
  </si>
  <si>
    <t>Gap Reference</t>
  </si>
  <si>
    <t>Associated Layer</t>
  </si>
  <si>
    <t>Control Vulnerability / Defect Summary</t>
  </si>
  <si>
    <t>Adversarial Exposure / Audit Threat Vector</t>
  </si>
  <si>
    <t>Remediation Priority</t>
  </si>
  <si>
    <t>Gap 1 (Ref: C1.3)</t>
  </si>
  <si>
    <t>Web Application Firewall (WAF) operates purely generic layer-7 perimeter web filters; completely lacks explicit inspection signatures for OWASP Top 10 LLM security vectors.</t>
  </si>
  <si>
    <t>Adversarial actors can transmit malicious direct prompt injections or obfuscated string payloads directly across the intake boundary, completely bypassing perimeter firewalls to compromise internal Transformer attention layer parameters.</t>
  </si>
  <si>
    <t>HIGH</t>
  </si>
  <si>
    <t>Gap 2 (Ref: C3.1)</t>
  </si>
  <si>
    <t>Complete absence of cryptographic data validation pipelines or automated hash-chain tracking blocks across the model retraining corpus and secondary RAG document stores.</t>
  </si>
  <si>
    <t>Malicious actors or compromised internal feeds can execute silent training data poisoning or inject fraudulent historic claim/underwriting files, generating massive underwriting biases or routing backdoors without triggering security exception alarms.</t>
  </si>
  <si>
    <t>Gap 3 (Ref: C3.3)</t>
  </si>
  <si>
    <t>Retraining configuration completely lacks Differential Privacy (DP-SGD) bounding noise parameters during structural backpropagation updates.</t>
  </si>
  <si>
    <t>Leaves the finalized model weight binaries highly susceptible to membership inference and text-memorization exploitation, allowing malicious actors to reconstruct sensitive Article 9 healthcare records via programmatic output sampling.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</si>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</sst>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i/>
      <sz val="12.0"/>
      <color rgb="FF5C768D"/>
      <name val="Calibri"/>
    </font>
    <font>
      <b/>
      <sz val="16.0"/>
      <color rgb="FF1B365D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6100"/>
      <name val="Calibri"/>
    </font>
    <font>
      <sz val="11.0"/>
      <color rgb="FF9C0006"/>
      <name val="Calibri"/>
    </font>
    <font>
      <sz val="11.0"/>
      <color rgb="FF9C65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5C768D"/>
        <bgColor rgb="FF5C768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2" fillId="2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1" fillId="6" fontId="8" numFmtId="0" xfId="0" applyAlignment="1" applyBorder="1" applyFill="1" applyFont="1">
      <alignment horizontal="center" vertical="center"/>
    </xf>
    <xf borderId="0" fillId="0" fontId="5" numFmtId="0" xfId="0" applyFont="1"/>
    <xf borderId="1" fillId="0" fontId="4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AML Security Control Status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Dashboard!$E$4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Dashboard!$D$5:$D$7</c:f>
            </c:strRef>
          </c:cat>
          <c:val>
            <c:numRef>
              <c:f>Dashboard!$E$5:$E$7</c:f>
              <c:numCache/>
            </c:numRef>
          </c:val>
        </c:ser>
        <c:axId val="1811646049"/>
        <c:axId val="737537637"/>
      </c:barChart>
      <c:catAx>
        <c:axId val="1811646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Compliance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537637"/>
      </c:catAx>
      <c:valAx>
        <c:axId val="737537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Controls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64604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5038725" cy="2514600"/>
    <xdr:graphicFrame>
      <xdr:nvGraphicFramePr>
        <xdr:cNvPr id="147391157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5.0"/>
    <col customWidth="1" min="3" max="3" width="12.0"/>
    <col customWidth="1" min="4" max="4" width="23.0"/>
    <col customWidth="1" min="5" max="5" width="28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D4" s="4" t="s">
        <v>4</v>
      </c>
      <c r="E4" s="4" t="s">
        <v>5</v>
      </c>
    </row>
    <row r="5">
      <c r="A5" s="5" t="s">
        <v>6</v>
      </c>
      <c r="B5" s="6">
        <f>'Control Checklist'!B16</f>
        <v>9</v>
      </c>
      <c r="D5" s="5" t="s">
        <v>7</v>
      </c>
      <c r="E5" s="6">
        <f>'Control Checklist'!B17</f>
        <v>5</v>
      </c>
    </row>
    <row r="6">
      <c r="A6" s="5" t="s">
        <v>8</v>
      </c>
      <c r="B6" s="6">
        <f>'Control Checklist'!B17</f>
        <v>5</v>
      </c>
      <c r="D6" s="5" t="s">
        <v>9</v>
      </c>
      <c r="E6" s="6">
        <f>'Control Checklist'!B18</f>
        <v>1</v>
      </c>
    </row>
    <row r="7">
      <c r="A7" s="5" t="s">
        <v>10</v>
      </c>
      <c r="B7" s="6">
        <f>'Control Checklist'!B18</f>
        <v>1</v>
      </c>
      <c r="D7" s="5" t="s">
        <v>11</v>
      </c>
      <c r="E7" s="6">
        <f>'Control Checklist'!B19</f>
        <v>3</v>
      </c>
    </row>
    <row r="8">
      <c r="A8" s="5" t="s">
        <v>12</v>
      </c>
      <c r="B8" s="6">
        <f>'Control Checklist'!B19</f>
        <v>3</v>
      </c>
    </row>
    <row r="9">
      <c r="A9" s="5" t="s">
        <v>13</v>
      </c>
      <c r="B9" s="7">
        <f>'Control Checklist'!B20</f>
        <v>0.5555555556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43.0"/>
    <col customWidth="1" min="3" max="3" width="38.0"/>
    <col customWidth="1" min="4" max="4" width="44.0"/>
    <col customWidth="1" min="5" max="5" width="23.0"/>
    <col customWidth="1" min="6" max="6" width="46.0"/>
    <col customWidth="1" min="7" max="26" width="8.71"/>
  </cols>
  <sheetData>
    <row r="1">
      <c r="A1" s="2" t="s">
        <v>14</v>
      </c>
    </row>
    <row r="3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</row>
    <row r="4">
      <c r="A4" s="9" t="s">
        <v>21</v>
      </c>
      <c r="B4" s="9" t="s">
        <v>22</v>
      </c>
      <c r="C4" s="10" t="s">
        <v>23</v>
      </c>
      <c r="D4" s="10" t="s">
        <v>24</v>
      </c>
      <c r="E4" s="11" t="s">
        <v>7</v>
      </c>
      <c r="F4" s="10" t="s">
        <v>25</v>
      </c>
    </row>
    <row r="5">
      <c r="A5" s="9" t="s">
        <v>26</v>
      </c>
      <c r="B5" s="9" t="s">
        <v>22</v>
      </c>
      <c r="C5" s="10" t="s">
        <v>27</v>
      </c>
      <c r="D5" s="10" t="s">
        <v>28</v>
      </c>
      <c r="E5" s="11" t="s">
        <v>7</v>
      </c>
      <c r="F5" s="10" t="s">
        <v>29</v>
      </c>
    </row>
    <row r="6">
      <c r="A6" s="9" t="s">
        <v>30</v>
      </c>
      <c r="B6" s="9" t="s">
        <v>22</v>
      </c>
      <c r="C6" s="10" t="s">
        <v>31</v>
      </c>
      <c r="D6" s="10" t="s">
        <v>32</v>
      </c>
      <c r="E6" s="12" t="s">
        <v>11</v>
      </c>
      <c r="F6" s="10" t="s">
        <v>33</v>
      </c>
    </row>
    <row r="7">
      <c r="A7" s="9" t="s">
        <v>34</v>
      </c>
      <c r="B7" s="9" t="s">
        <v>35</v>
      </c>
      <c r="C7" s="10" t="s">
        <v>36</v>
      </c>
      <c r="D7" s="10" t="s">
        <v>37</v>
      </c>
      <c r="E7" s="13" t="s">
        <v>9</v>
      </c>
      <c r="F7" s="10" t="s">
        <v>38</v>
      </c>
    </row>
    <row r="8">
      <c r="A8" s="9" t="s">
        <v>39</v>
      </c>
      <c r="B8" s="9" t="s">
        <v>35</v>
      </c>
      <c r="C8" s="10" t="s">
        <v>40</v>
      </c>
      <c r="D8" s="10" t="s">
        <v>41</v>
      </c>
      <c r="E8" s="11" t="s">
        <v>7</v>
      </c>
      <c r="F8" s="10" t="s">
        <v>42</v>
      </c>
    </row>
    <row r="9">
      <c r="A9" s="9" t="s">
        <v>43</v>
      </c>
      <c r="B9" s="9" t="s">
        <v>35</v>
      </c>
      <c r="C9" s="10" t="s">
        <v>44</v>
      </c>
      <c r="D9" s="10" t="s">
        <v>45</v>
      </c>
      <c r="E9" s="11" t="s">
        <v>7</v>
      </c>
      <c r="F9" s="10" t="s">
        <v>46</v>
      </c>
    </row>
    <row r="10">
      <c r="A10" s="9" t="s">
        <v>47</v>
      </c>
      <c r="B10" s="9" t="s">
        <v>48</v>
      </c>
      <c r="C10" s="10" t="s">
        <v>49</v>
      </c>
      <c r="D10" s="10" t="s">
        <v>50</v>
      </c>
      <c r="E10" s="12" t="s">
        <v>11</v>
      </c>
      <c r="F10" s="10" t="s">
        <v>51</v>
      </c>
    </row>
    <row r="11">
      <c r="A11" s="9" t="s">
        <v>52</v>
      </c>
      <c r="B11" s="9" t="s">
        <v>48</v>
      </c>
      <c r="C11" s="10" t="s">
        <v>53</v>
      </c>
      <c r="D11" s="10" t="s">
        <v>54</v>
      </c>
      <c r="E11" s="11" t="s">
        <v>7</v>
      </c>
      <c r="F11" s="10" t="s">
        <v>55</v>
      </c>
    </row>
    <row r="12">
      <c r="A12" s="9" t="s">
        <v>56</v>
      </c>
      <c r="B12" s="9" t="s">
        <v>48</v>
      </c>
      <c r="C12" s="10" t="s">
        <v>57</v>
      </c>
      <c r="D12" s="10" t="s">
        <v>58</v>
      </c>
      <c r="E12" s="12" t="s">
        <v>11</v>
      </c>
      <c r="F12" s="10" t="s">
        <v>59</v>
      </c>
    </row>
    <row r="15">
      <c r="A15" s="14" t="s">
        <v>60</v>
      </c>
    </row>
    <row r="16">
      <c r="A16" s="5" t="s">
        <v>61</v>
      </c>
      <c r="B16" s="6">
        <f>COUNTA(A4:A12)</f>
        <v>9</v>
      </c>
    </row>
    <row r="17">
      <c r="A17" s="5" t="s">
        <v>62</v>
      </c>
      <c r="B17" s="6">
        <f>COUNTIF(E4:E12, "Compliant")</f>
        <v>5</v>
      </c>
    </row>
    <row r="18">
      <c r="A18" s="5" t="s">
        <v>63</v>
      </c>
      <c r="B18" s="6">
        <f>COUNTIF(E4:E12, "Partially Compliant")</f>
        <v>1</v>
      </c>
    </row>
    <row r="19">
      <c r="A19" s="5" t="s">
        <v>64</v>
      </c>
      <c r="B19" s="6">
        <f>COUNTIF(E4:E12, "Non-Compliant")</f>
        <v>3</v>
      </c>
    </row>
    <row r="20">
      <c r="A20" s="5" t="s">
        <v>65</v>
      </c>
      <c r="B20" s="7">
        <f>B17/B16</f>
        <v>0.5555555556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4:E12">
      <formula1>"Compliant,Partially Compliant,Non-Compliant"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0.0"/>
    <col customWidth="1" min="3" max="3" width="42.0"/>
    <col customWidth="1" min="4" max="4" width="52.0"/>
    <col customWidth="1" min="5" max="5" width="24.0"/>
    <col customWidth="1" min="6" max="26" width="8.71"/>
  </cols>
  <sheetData>
    <row r="1">
      <c r="A1" s="2" t="s">
        <v>66</v>
      </c>
    </row>
    <row r="3">
      <c r="A3" s="8" t="s">
        <v>67</v>
      </c>
      <c r="B3" s="8" t="s">
        <v>68</v>
      </c>
      <c r="C3" s="8" t="s">
        <v>69</v>
      </c>
      <c r="D3" s="8" t="s">
        <v>70</v>
      </c>
      <c r="E3" s="8" t="s">
        <v>71</v>
      </c>
    </row>
    <row r="4">
      <c r="A4" s="15" t="s">
        <v>72</v>
      </c>
      <c r="B4" s="15" t="s">
        <v>22</v>
      </c>
      <c r="C4" s="10" t="s">
        <v>73</v>
      </c>
      <c r="D4" s="10" t="s">
        <v>74</v>
      </c>
      <c r="E4" s="16" t="s">
        <v>75</v>
      </c>
    </row>
    <row r="5">
      <c r="A5" s="15" t="s">
        <v>76</v>
      </c>
      <c r="B5" s="15" t="s">
        <v>48</v>
      </c>
      <c r="C5" s="10" t="s">
        <v>77</v>
      </c>
      <c r="D5" s="10" t="s">
        <v>78</v>
      </c>
      <c r="E5" s="16" t="s">
        <v>75</v>
      </c>
    </row>
    <row r="6">
      <c r="A6" s="15" t="s">
        <v>79</v>
      </c>
      <c r="B6" s="15" t="s">
        <v>48</v>
      </c>
      <c r="C6" s="10" t="s">
        <v>80</v>
      </c>
      <c r="D6" s="10" t="s">
        <v>81</v>
      </c>
      <c r="E6" s="17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2026-07-03T14:16:36Z</dcterms:created>
  <dc:creator>openpyxl</dc:creator>
</cp:coreProperties>
</file>