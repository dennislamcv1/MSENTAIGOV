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Control Checklist" sheetId="2" state="visible" r:id="rId4"/>
    <sheet name="Identified Gaps" sheetId="3" state="visible" r:id="rId5"/>
    <sheet name="Layer Crosswalk" sheetId="4" state="visible" r:id="rId6"/>
    <sheet name="Change Log vs Source"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<sst xmlns="http://schemas.openxmlformats.org/spreadsheetml/2006/main" count="304" uniqueCount="220">
  <si>
    <t xml:space="preserve">AML DEFENCE-IN-DEPTH SECURITY CONFIGURATION DASHBOARD</t>
  </si>
  <si>
    <t xml:space="preserve">Meridian Health Partners Ltd.  |  Insurance Claims Triage AI v2.4  |  Assessed 3 July 2026</t>
  </si>
  <si>
    <t xml:space="preserve">Summary Metric</t>
  </si>
  <si>
    <t xml:space="preserve">This Review</t>
  </si>
  <si>
    <t xml:space="preserve">Supplied Checklist</t>
  </si>
  <si>
    <t xml:space="preserve">Change</t>
  </si>
  <si>
    <t xml:space="preserve">Total controls reviewed</t>
  </si>
  <si>
    <t xml:space="preserve">Compliant</t>
  </si>
  <si>
    <t xml:space="preserve">Partially Compliant</t>
  </si>
  <si>
    <t xml:space="preserve">Non-Compliant (critical gaps)</t>
  </si>
  <si>
    <t xml:space="preserve">Systemic compliance score</t>
  </si>
  <si>
    <t xml:space="preserve">Gaps rated CRITICAL by rubric</t>
  </si>
  <si>
    <t xml:space="preserve">Gaps in layers the AML report never assessed</t>
  </si>
  <si>
    <t xml:space="preserve">The score fell from 55.6% to the figure above for three reasons, none of them a change in the deployment: one control status was corrected against the primary source (C2.2), three absent controls were added (C2.4, C2.5, C3.4), and one status was downgraded on production evidence (C1.1). The security posture did not deteriorate between the supplied checklist and this one. It was measured against a control set that omitted the controls this deployment most needs.</t>
  </si>
  <si>
    <t xml:space="preserve">Reconciled against the Adversarial Red-Teaming &amp; Security Test Report (MHP-ADV-REP-2026-v1, engagement 15-30 June 2026). That report independently corroborates the C2.2 correction: its first hardening priority recommends deploying pydantic output contracts, which no red team proposes for a control already in place, and ADV-03 exploited the absence to bypass human review. Gap severities were realigned to the red team's direct-impact scoring.</t>
  </si>
  <si>
    <t xml:space="preserve">AML CONFIGURATION REVIEW — DEFENCE-IN-DEPTH CONTROL CHECKLIST</t>
  </si>
  <si>
    <t xml:space="preserve">Meridian Health Partners Ltd.  |  Insurance Claims Triage AI (ClaimsTriage) v2.4  |  Ref: MHP-AI-GOV-2026-PKG01-DID  |  Assessed 3 July 2026  |  12 controls across 3 layers</t>
  </si>
  <si>
    <t xml:space="preserve">Assessed against the AML security configuration report in the scenario package (§5.2) and the Microsoft Defender for Cloud telemetry (§5.3). Three controls were added to the supplied checklist and two statuses were changed on evidence. Reasoning for every change is in the Change Log sheet.</t>
  </si>
  <si>
    <t xml:space="preserve">Control ID</t>
  </si>
  <si>
    <t xml:space="preserve">Defence Layer</t>
  </si>
  <si>
    <t xml:space="preserve">Security Control Requirement</t>
  </si>
  <si>
    <t xml:space="preserve">Evaluation Metric / Testing Standard</t>
  </si>
  <si>
    <t xml:space="preserve">Status</t>
  </si>
  <si>
    <t xml:space="preserve">Findings Summary</t>
  </si>
  <si>
    <t xml:space="preserve">Evidence Basis</t>
  </si>
  <si>
    <t xml:space="preserve">Attack Surface Exposed</t>
  </si>
  <si>
    <t xml:space="preserve">C1.1</t>
  </si>
  <si>
    <t xml:space="preserve">Layer 1: Network &amp; Infra</t>
  </si>
  <si>
    <t xml:space="preserve">API Rate Limiting &amp; Throttling</t>
  </si>
  <si>
    <t xml:space="preserve">Enforce transaction-per-minute caps on inference endpoints to prevent high-frequency query exhaustion. Detection-to-throttle latency under 5 minutes.</t>
  </si>
  <si>
    <t xml:space="preserve">STATUS CHANGED from Compliant. The control exists and is configured at the API gateway, dropping bursts above 100 requests/min. Two defects were demonstrated in production. First, time-to-throttle was 45 minutes against a sustained automated attack, during which ~1,200 adversarial queries executed through the entire transformer stack. Second, the attack originated from an external IP BLOCK — multiple source addresses — and a per-source threshold is structurally defeated by distribution across a block, which is the standard shape of this attack. The control is threshold-based, not behaviour-based, and has no automated escalation path.</t>
  </si>
  <si>
    <t xml:space="preserve">MDC-2026-8891 incident analysis; scenario §5.3 system impact.</t>
  </si>
  <si>
    <t xml:space="preserve">AS-01, AS-02</t>
  </si>
  <si>
    <t xml:space="preserve">C1.2</t>
  </si>
  <si>
    <t xml:space="preserve">Network Boundary Isolation</t>
  </si>
  <si>
    <t xml:space="preserve">Private links and isolated virtual networks with zero external exposure of model subnets.</t>
  </si>
  <si>
    <t xml:space="preserve">Backend subnets operate on strictly internal addresses with no public routes. No finding. Note that this control protects the subnet, not the application path — the attack at MDC-2026-8891 arrived through the legitimate public claim interface, which network isolation is not designed to stop.</t>
  </si>
  <si>
    <t xml:space="preserve">Scenario §5.2; AML configuration review.</t>
  </si>
  <si>
    <t xml:space="preserve">—</t>
  </si>
  <si>
    <t xml:space="preserve">C1.3</t>
  </si>
  <si>
    <t xml:space="preserve">WAF — OWASP Top 10 for LLM Rules</t>
  </si>
  <si>
    <t xml:space="preserve">Application-layer firewall inspection with LLM-specific signatures for direct and obfuscated prompt injection payloads.</t>
  </si>
  <si>
    <t xml:space="preserve">Non-Compliant</t>
  </si>
  <si>
    <t xml:space="preserve">CRITICAL GAP. The WAF operates generic layer-7 web rules only and carries no LLM-specific inspection signatures. Prompt injection payloads are well-formed HTTP with valid content types — nothing in a generic ruleset distinguishes a hostile claim narrative from a legitimate one. This is the perimeter control that should have raised MDC-2026-8891 in minutes rather than 45.</t>
  </si>
  <si>
    <t xml:space="preserve">Scenario §5.2 input layer finding; corroborated by MDC-2026-8891.</t>
  </si>
  <si>
    <t xml:space="preserve">AS-01</t>
  </si>
  <si>
    <t xml:space="preserve">C2.1</t>
  </si>
  <si>
    <t xml:space="preserve">Layer 2: Model Application</t>
  </si>
  <si>
    <t xml:space="preserve">Input Validation &amp; Content Filtering</t>
  </si>
  <si>
    <t xml:space="preserve">Pattern matching plus automated semantic content screening to detect adversarial system-prompt instructions.</t>
  </si>
  <si>
    <t xml:space="preserve">WEAK MITIGATION. Filtering relies on keyword blacklisting of explicit phrases such as 'ignore previous instructions'. No semantic vector anomaly detection and no structural input parsing at the tokenization layer. Trivially bypassed by paraphrase, homoglyph substitution or the emotionally-framed narrative structure the red team used. A blacklist enumerates known bad strings; the attack class is defined by intent, not string.</t>
  </si>
  <si>
    <t xml:space="preserve">Scenario §5.2; red-team result of 14.2% success against these filters.</t>
  </si>
  <si>
    <t xml:space="preserve">AS-01, AS-03</t>
  </si>
  <si>
    <t xml:space="preserve">C2.2</t>
  </si>
  <si>
    <t xml:space="preserve">Structural Output Validation</t>
  </si>
  <si>
    <t xml:space="preserve">Strict outbound JSON schema validation and structural sanitisation before any transactional dispatch.</t>
  </si>
  <si>
    <t xml:space="preserve">STATUS CHANGED from Compliant. THREE-WAY CORROBORATION. (1) The AML configuration report states the decoder 'does not validate generated output strings against outbound JSON schemas before dispatching transactional calls to backend databases'. (2) The adversarial test report's first hardening priority RECOMMENDS deploying 'strict pydantic output data contracts and a hard structural regex validation layer' — a remediation no red team proposes for a control already in place. (3) Red-team finding ADV-03 (CRITICAL) exploited the absence directly, forcing routing tags onto high-risk files and bypassing human review. Against this, the supplied checklist scored the control Compliant on the basis that schemas are 'hard-validated against strict pydantic definitions'. Two independent primary sources and a verified exploit against one checklist entry. Recorded as Non-Compliant.</t>
  </si>
  <si>
    <t xml:space="preserve">Scenario §5.2 output layer finding; MHP-ADV-REP-2026-v1 §2 (ADV-03) and §3 (Hardening Priority 1).</t>
  </si>
  <si>
    <t xml:space="preserve">AS-04</t>
  </si>
  <si>
    <t xml:space="preserve">C2.3</t>
  </si>
  <si>
    <t xml:space="preserve">Real-Time Telemetry &amp; Alerting</t>
  </si>
  <si>
    <t xml:space="preserve">Continuous logging of prompt lengths, embedding vectors and logit entropy with automated SIEM alerting.</t>
  </si>
  <si>
    <t xml:space="preserve">Integrated with Azure Monitor; anomalies raise automated SIEM alerts. This control performed: it generated MDC-2026-8891. Its limitation is that detection is not prevention — the alert fired, and 1,200 queries still completed. Telemetry is the reason this deployment knows about the exposure at all, and should be credited as such.</t>
  </si>
  <si>
    <t xml:space="preserve">Scenario §5.2; MDC-2026-8891 exists because this control works.</t>
  </si>
  <si>
    <t xml:space="preserve">C2.4</t>
  </si>
  <si>
    <t xml:space="preserve">Context Window Structural Encapsulation</t>
  </si>
  <si>
    <t xml:space="preserve">Cryptographically random delimiters isolating untrusted user text from authoritative retrieved context and system instructions within the assembled prompt.</t>
  </si>
  <si>
    <t xml:space="preserve">CONTROL ADDED — absent from the supplied checklist entirely. System routing instructions are appended as an un-delimited static prompt, and the context window aggregates untrusted claimant input with authoritative RAG policy documents without structural boundaries. The model cannot distinguish instruction from data because nothing in the assembled prompt marks the difference. This is the direct technical cause of the 14.2% adversarial success rate, and the supplied checklist scored nine controls without one covering it — which is how a 55.6% compliance score coexisted with a critical unmitigated vulnerability. A missing control scores as nothing at all.</t>
  </si>
  <si>
    <t xml:space="preserve">Scenario §5.2 processing layer finding; red-team adversarial test report.</t>
  </si>
  <si>
    <t xml:space="preserve">AS-03</t>
  </si>
  <si>
    <t xml:space="preserve">C2.5</t>
  </si>
  <si>
    <t xml:space="preserve">Routing Decision Integrity Verification</t>
  </si>
  <si>
    <t xml:space="preserve">Independent verification that a claim classified high-risk is actually delivered to the human review queue, reconciled outside the model's own output path.</t>
  </si>
  <si>
    <t xml:space="preserve">CONTROL ADDED — absent from the supplied checklist. Red-team testing overrode internal policy limits and routed unverified cases directly to high-priority settlement queues in 14.2% of variations, bypassing human review. Nothing independently reconciles intended routing against actual queue placement, so a successful bypass leaves no signal. This control matters beyond security: the Article 22 position depends on human review occurring, and this is the only control that would evidence it did.</t>
  </si>
  <si>
    <t xml:space="preserve">Red-team adversarial test report; DPIA GAP-05 dependency.</t>
  </si>
  <si>
    <t xml:space="preserve">AS-03, AS-04</t>
  </si>
  <si>
    <t xml:space="preserve">C3.1</t>
  </si>
  <si>
    <t xml:space="preserve">Layer 3: Data &amp; Governance</t>
  </si>
  <si>
    <t xml:space="preserve">Cryptographic Data Ingestion Hashing</t>
  </si>
  <si>
    <t xml:space="preserve">Immutable hash-chain verification of training corpus and RAG library integrity at every ingestion event.</t>
  </si>
  <si>
    <t xml:space="preserve">CRITICAL GAP. Ingestion has no automated integrity validation. Training data for v2.4 was pulled from an external vendor over a network connection during a 72-hour window with no cryptographic verification of what arrived. This is precisely why CVE-2025-XXXX cannot be dismissed: without hash verification there is no way to demonstrate the corpus was not tampered with, so the production model must be treated as potentially backdoored. The absence of this control converts an advisory into an unfalsifiable exposure.</t>
  </si>
  <si>
    <t xml:space="preserve">Scenario §6.3 training history; AML configuration review.</t>
  </si>
  <si>
    <t xml:space="preserve">AS-05</t>
  </si>
  <si>
    <t xml:space="preserve">C3.2</t>
  </si>
  <si>
    <t xml:space="preserve">ABAC &amp; RBAC Access Controls</t>
  </si>
  <si>
    <t xml:space="preserve">Model parameter read/write access restricted to named ML operational roles with dual-author validation.</t>
  </si>
  <si>
    <t xml:space="preserve">Enforced via corporate IAM with dual-author validation required for deployment changes. No finding at the model-parameter layer. Note that DPIA GAP-03 identifies a separate access-control gap over the high-risk review QUEUE, which this control does not cover.</t>
  </si>
  <si>
    <t xml:space="preserve">C3.3</t>
  </si>
  <si>
    <t xml:space="preserve">Differential Privacy (DP-SGD)</t>
  </si>
  <si>
    <t xml:space="preserve">Bounded Gaussian noise in gradient updates with documented and cumulatively accounted epsilon-delta budget.</t>
  </si>
  <si>
    <t xml:space="preserve">CRITICAL GAP. Retraining pipelines have no DP-SGD integration, leaving model weights exposed to membership inference and text memorisation — an attacker sampling outputs may reconstruct Article 9 narrative content. This is also the technical precondition of the de-identification recommendation at Report §2.3: the recommended hybrid control cannot be implemented until this gap closes, so it is a privacy dependency as much as a security one.</t>
  </si>
  <si>
    <t xml:space="preserve">Scenario §5.2; De-Identification Comparison Matrix §1.</t>
  </si>
  <si>
    <t xml:space="preserve">C3.4</t>
  </si>
  <si>
    <t xml:space="preserve">Model Provenance &amp; Supply Chain Attestation</t>
  </si>
  <si>
    <t xml:space="preserve">Signed bill of materials for every model build recording library versions, corpus hash and build environment, verifiable post-hoc.</t>
  </si>
  <si>
    <t xml:space="preserve">CONTROL ADDED — absent from the supplied checklist. That ClaimsTriage v2.4 was compiled on NeuralCore v3.3.2 was established by manual investigation after CVE-2025-XXXX was published, not by querying an attestation record. Without signed provenance, exposure assessment for any future advisory is a manual archaeology exercise conducted under time pressure, and the answer may be unavailable. The 4-hour patch window in the CVE response assumes the affected component is known; that assumption held here by luck of recordkeeping rather than by control.</t>
  </si>
  <si>
    <t xml:space="preserve">Scenario §6.3; CVE-2025-XXXX response analysis.</t>
  </si>
  <si>
    <t xml:space="preserve">CALCULATED SUMMARY</t>
  </si>
  <si>
    <t xml:space="preserve">Scoring convention: only a fully Compliant control counts toward the score. Partially Compliant contributes nothing, because a control that is bypassable is not a control in the threat model it exists to address — C2.1's keyword blacklist was defeated in 14.2% of red-team variations. The supplied checklist scored 5 of 9 (55.6%) using the same convention over a control set that omitted three controls and mis-stated one status.</t>
  </si>
  <si>
    <t xml:space="preserve">IDENTIFIED AML SECURITY POSTURE GAPS &amp; EXPOSURE ANALYSIS</t>
  </si>
  <si>
    <t xml:space="preserve">Nine gaps: seven Non-Compliant controls and two Partially Compliant. Severity assigned using the Prompt-Injection Triage Rubric Section 3 matrix (attacker feasibility x maximum impact), and reconciled against the severities the red team assigned in MHP-ADV-REP-2026-v1.</t>
  </si>
  <si>
    <t xml:space="preserve">Gap Ref</t>
  </si>
  <si>
    <t xml:space="preserve">Control</t>
  </si>
  <si>
    <t xml:space="preserve">AML Report Layer</t>
  </si>
  <si>
    <t xml:space="preserve">Control Defect</t>
  </si>
  <si>
    <t xml:space="preserve">Adversarial Exposure / Audit Threat Vector</t>
  </si>
  <si>
    <t xml:space="preserve">Attacker Feasibility</t>
  </si>
  <si>
    <t xml:space="preserve">Max Impact</t>
  </si>
  <si>
    <t xml:space="preserve">Rubric Severity</t>
  </si>
  <si>
    <t xml:space="preserve">Remediation Priority</t>
  </si>
  <si>
    <t xml:space="preserve">Adversarial Test Traceability</t>
  </si>
  <si>
    <t xml:space="preserve">DID-01</t>
  </si>
  <si>
    <t xml:space="preserve">Processing Layer</t>
  </si>
  <si>
    <t xml:space="preserve">No structural encapsulation of untrusted input within the assembled context window. System instructions appended un-delimited; claimant text and authoritative RAG policy documents share one undifferentiated context.</t>
  </si>
  <si>
    <t xml:space="preserve">An attacker embeds instruction-override sequences in a claim narrative field. The model cannot distinguish instruction from data because nothing in the prompt marks the boundary, so policy limits are overridden and unverified claims route directly to high-priority settlement queues, bypassing human review entirely. Demonstrated at a 14.2% success rate against standard test variations.</t>
  </si>
  <si>
    <t xml:space="preserve">High — public web boundary</t>
  </si>
  <si>
    <t xml:space="preserve">High — queue hijacking</t>
  </si>
  <si>
    <t xml:space="preserve">HIGH</t>
  </si>
  <si>
    <t xml:space="preserve">P1 — 7 days</t>
  </si>
  <si>
    <t xml:space="preserve">ADV-02 (MEDIUM) via RAG channel; contributes to ADV-03 chain via claim form. Rated HIGH as the higher path.</t>
  </si>
  <si>
    <t xml:space="preserve">DID-02</t>
  </si>
  <si>
    <t xml:space="preserve">Output Layer</t>
  </si>
  <si>
    <t xml:space="preserve">No outbound JSON schema validation before transactional dispatch. Temperature bounded at T=0.2, which constrains generation variance but validates nothing.</t>
  </si>
  <si>
    <t xml:space="preserve">Adversarial text instructions surviving the decoder are serialised and dispatched as transactional calls to backend financial queues without structural verification. Unreviewed model output executes state changes in claims adjudication systems. Temperature control is not a security boundary and cannot be relied on as one.</t>
  </si>
  <si>
    <t xml:space="preserve">High — reached via AS-03</t>
  </si>
  <si>
    <t xml:space="preserve">High — unauthorised state change</t>
  </si>
  <si>
    <t xml:space="preserve">CRITICAL</t>
  </si>
  <si>
    <t xml:space="preserve">P1 — 24h SLA</t>
  </si>
  <si>
    <t xml:space="preserve">ADV-03 (CRITICAL) — the control whose absence the exploit used.</t>
  </si>
  <si>
    <t xml:space="preserve">DID-03</t>
  </si>
  <si>
    <t xml:space="preserve">Input Layer</t>
  </si>
  <si>
    <t xml:space="preserve">WAF carries generic layer-7 rules only, with no OWASP Top 10 for LLM inspection signatures.</t>
  </si>
  <si>
    <t xml:space="preserve">Prompt injection payloads are well-formed HTTP with valid content types. Nothing in a generic ruleset distinguishes a hostile claim narrative from a legitimate one, so injection traffic crosses the perimeter unexamined. This is the control that should have surfaced MDC-2026-8891 within minutes instead of 45.</t>
  </si>
  <si>
    <t xml:space="preserve">High — enables AS-03</t>
  </si>
  <si>
    <t xml:space="preserve">P1 — 72h</t>
  </si>
  <si>
    <t xml:space="preserve">ADV-01 (HIGH) — the perimeter the token-splitting bypass crossed.</t>
  </si>
  <si>
    <t xml:space="preserve">DID-04</t>
  </si>
  <si>
    <t xml:space="preserve">NOT COVERED by AML report</t>
  </si>
  <si>
    <t xml:space="preserve">No cryptographic hash-chain verification of training corpus or RAG library integrity at ingestion.</t>
  </si>
  <si>
    <t xml:space="preserve">Training data for v2.4 arrived from an external vendor over a network connection across a 72-hour window with no integrity verification. Without hash evidence there is no way to demonstrate the corpus was untampered, so CVE-2025-XXXX cannot be excluded and the production model must be treated as potentially backdoored. The absence of the control is what converts an advisory into an unfalsifiable exposure.</t>
  </si>
  <si>
    <t xml:space="preserve">Low — requires vendor pipeline access</t>
  </si>
  <si>
    <t xml:space="preserve">High — systemic model backdoor</t>
  </si>
  <si>
    <t xml:space="preserve">P1 — with retrain</t>
  </si>
  <si>
    <t xml:space="preserve">Not adversarially tested. CVE-2025-XXXX advisory exposure.</t>
  </si>
  <si>
    <t xml:space="preserve">DID-05</t>
  </si>
  <si>
    <t xml:space="preserve">No independent reconciliation of intended routing against actual queue placement.</t>
  </si>
  <si>
    <t xml:space="preserve">A successful routing bypass produces no signal. The system cannot evidence that a claim classified high-risk actually reached human review, which is both a security blind spot and the evidential gap underlying DPIA GAP-05 and the Article 22 position.</t>
  </si>
  <si>
    <t xml:space="preserve">High — via AS-03</t>
  </si>
  <si>
    <t xml:space="preserve">High — safeguard defeat</t>
  </si>
  <si>
    <t xml:space="preserve">ADV-03 (CRITICAL) — the control that would have detected the routing bypass.</t>
  </si>
  <si>
    <t xml:space="preserve">DID-06</t>
  </si>
  <si>
    <t xml:space="preserve">No DP-SGD in the retraining pipeline; no epsilon-delta budget defined or accounted.</t>
  </si>
  <si>
    <t xml:space="preserve">Model weights are exposed to membership inference and text memorisation. An attacker sampling outputs may reconstruct Article 9 narrative content from training data. Also blocks the de-identification recommendation at Report §2.3, which cannot be implemented until this closes — a privacy dependency carried on the security register.</t>
  </si>
  <si>
    <t xml:space="preserve">Medium — authenticated inference access</t>
  </si>
  <si>
    <t xml:space="preserve">Medium — Art 9 reconstruction</t>
  </si>
  <si>
    <t xml:space="preserve">P2 — 30 days</t>
  </si>
  <si>
    <t xml:space="preserve">Not adversarially tested. De-identification dependency.</t>
  </si>
  <si>
    <t xml:space="preserve">DID-07</t>
  </si>
  <si>
    <t xml:space="preserve">No signed model bill of materials recording library versions, corpus hash and build environment.</t>
  </si>
  <si>
    <t xml:space="preserve">Exposure assessment for any advisory becomes manual archaeology under time pressure, and may return no answer. The 4-hour CVE patch window assumes the affected component is identifiable; here that held through recordkeeping luck rather than control.</t>
  </si>
  <si>
    <t xml:space="preserve">Not directly exploitable</t>
  </si>
  <si>
    <t xml:space="preserve">Medium — response capability</t>
  </si>
  <si>
    <t xml:space="preserve">MEDIUM</t>
  </si>
  <si>
    <t xml:space="preserve">Not adversarially tested. CVE response capability.</t>
  </si>
  <si>
    <t xml:space="preserve">DID-08</t>
  </si>
  <si>
    <t xml:space="preserve">Rate limiting is threshold-based per source, not behaviour-based, with no automated escalation. Demonstrated time-to-throttle of 45 minutes.</t>
  </si>
  <si>
    <t xml:space="preserve">The attack at MDC-2026-8891 originated from an external IP BLOCK. A per-source threshold is structurally defeated by distribution across a block, which is the standard shape of this attack — and ~1,200 adversarial queries completed through the full transformer stack before throttling engaged. Separately, the stated 100 requests/min cap requires reconciliation against a peak load of ~48.6 claims/second; if aggregate, it is incompatible with the SLA, and if per-source, it is what the observed attack walked past.</t>
  </si>
  <si>
    <t xml:space="preserve">Medium — resource exhaustion</t>
  </si>
  <si>
    <t xml:space="preserve">Not adversarially tested. MDC-2026-8891 production evidence.</t>
  </si>
  <si>
    <t xml:space="preserve">DID-09</t>
  </si>
  <si>
    <t xml:space="preserve">Keyword blacklist filtering only. No semantic vector anomaly detection, no structural input parsing at the tokenization layer.</t>
  </si>
  <si>
    <t xml:space="preserve">A blacklist enumerates known bad strings; the attack class is defined by intent. Paraphrase, homoglyph substitution and the emotionally-framed narrative structure used by the red team all pass. This control was in place during the 14.2% success rate and did not prevent it.</t>
  </si>
  <si>
    <t xml:space="preserve">ADV-01 (HIGH) — signature matching defeated by character obfuscation.</t>
  </si>
  <si>
    <t xml:space="preserve">Severity ratings were revised down for DID-01, DID-03 and DID-09 after reconciliation with the adversarial test report. The earlier CRITICAL ratings credited each surface with enabling the exploits downstream of it, which inflates every upstream control to the severity of the worst outcome it can lead to. The red team rated each finding on its DIRECT impact and its ratings are internally consistent with the rubric matrix; that discipline is adopted here. Two gaps remain CRITICAL, both attached to ADV-03.</t>
  </si>
  <si>
    <t xml:space="preserve">DEFENCE LAYER CROSSWALK</t>
  </si>
  <si>
    <t xml:space="preserve">The checklist and the AML configuration report use different three-layer taxonomies. Without this mapping, findings in Report §3.3 cannot be traced to the control that produced them.</t>
  </si>
  <si>
    <t xml:space="preserve">AML Report Layer (scenario §5.2)</t>
  </si>
  <si>
    <t xml:space="preserve">AML Report Verdict</t>
  </si>
  <si>
    <t xml:space="preserve">Checklist Controls Mapping to It</t>
  </si>
  <si>
    <t xml:space="preserve">Net Status</t>
  </si>
  <si>
    <t xml:space="preserve">Commentary</t>
  </si>
  <si>
    <t xml:space="preserve">Deficient</t>
  </si>
  <si>
    <t xml:space="preserve">C1.1 (Partial), C1.3 (Non-Compliant), C2.1 (Partial)</t>
  </si>
  <si>
    <t xml:space="preserve">DEFICIENT — confirmed</t>
  </si>
  <si>
    <t xml:space="preserve">Three controls, none fully compliant. The AML report's verdict is upheld and sharpened: the deficiency is not merely that filtering is keyword-based, but that all three input-side controls fail against the same attack class for the same reason — each enumerates known-bad patterns rather than modelling intent.</t>
  </si>
  <si>
    <t xml:space="preserve">C1.2 (Compliant), C2.3 (Compliant), C2.4 (Non-Compliant, ADDED)</t>
  </si>
  <si>
    <t xml:space="preserve">The two compliant controls here protect the network and observe the runtime; neither addresses prompt structure. The one control that would — C2.4 context encapsulation — was absent from the supplied checklist entirely. That absence is why the checklist could report 55.6% compliance while the deployment's most severe vulnerability sat unmitigated.</t>
  </si>
  <si>
    <t xml:space="preserve">C2.2 (Non-Compliant, CORRECTED), C2.5 (Non-Compliant, ADDED)</t>
  </si>
  <si>
    <t xml:space="preserve">The supplied checklist scored C2.2 Compliant, directly contradicting the AML report's finding that the decoder does not validate against outbound schemas. Corrected. C2.5 routing integrity added, because verifying that output is well-formed is not the same as verifying it went where it was supposed to.</t>
  </si>
  <si>
    <t xml:space="preserve">(no corresponding layer)</t>
  </si>
  <si>
    <t xml:space="preserve">NOT ASSESSED</t>
  </si>
  <si>
    <t xml:space="preserve">C3.1, C3.2, C3.3, C3.4 — Data &amp; Governance</t>
  </si>
  <si>
    <t xml:space="preserve">3 of 4 NON-COMPLIANT</t>
  </si>
  <si>
    <t xml:space="preserve">THE STRUCTURAL FINDING. The AML report's three layers describe the inference path from input to output. Training-time integrity, corpus provenance, differential privacy and supply-chain attestation have no place in that taxonomy and were therefore never assessed. This is where CVE-2025-XXXX lives. A reader of the AML report alone would conclude the deployment has three deficient layers; the checklist shows it has four, and the unexamined one carries the exposure that drives the CVE response in Report §4.2.</t>
  </si>
  <si>
    <t xml:space="preserve">CHANGE LOG — THIS CHECKLIST AGAINST THE SUPPLIED VERSION</t>
  </si>
  <si>
    <t xml:space="preserve">Seven changes. Each traceable to a primary source: the scenario package, the AML configuration report, Defender telemetry, or the adversarial test report.</t>
  </si>
  <si>
    <t xml:space="preserve">#</t>
  </si>
  <si>
    <t xml:space="preserve">This Checklist</t>
  </si>
  <si>
    <t xml:space="preserve">Basis</t>
  </si>
  <si>
    <t xml:space="preserve">C2.2 Structural Output Validation</t>
  </si>
  <si>
    <t xml:space="preserve">Compliant — 'hard-validated against strict pydantic definitions'</t>
  </si>
  <si>
    <t xml:space="preserve">Scenario §5.2 states the decoder 'does not validate generated output strings against outbound JSON schemas before dispatching transactional calls'. The adversarial test report independently recommends deploying pydantic output contracts as its first hardening priority — which it would not do were they already deployed — and ADV-03 exploited the absence to bypass human review. Two primary sources and a verified exploit against one checklist entry. The package also opened a risk (RSK-03) to remediate a control it scored compliant, an internal contradiction fatal on its own.</t>
  </si>
  <si>
    <t xml:space="preserve">C1.1 API Rate Limiting</t>
  </si>
  <si>
    <t xml:space="preserve">Compliant — 'drops bursts exceeding 100 requests/min'</t>
  </si>
  <si>
    <t xml:space="preserve">MDC-2026-8891 records a 45-minute time-to-throttle with ~1,200 adversarial queries completing through the full stack, from an external IP block. A per-source threshold is defeated by distribution across a block. The control exists and partially functions; it does not meet its purpose in the threat model that produced the incident.</t>
  </si>
  <si>
    <t xml:space="preserve">C2.4 Context Window Encapsulation</t>
  </si>
  <si>
    <t xml:space="preserve">Not present</t>
  </si>
  <si>
    <t xml:space="preserve">Added — Non-Compliant</t>
  </si>
  <si>
    <t xml:space="preserve">Scenario §5.2 processing layer: 'routing instructions are appended as an un-delimited static prompt' and the context window 'aggregates untrusted user inputs and authoritative RAG text documents without structural encapsulation boundaries'. This is the direct cause of the 14.2% adversarial success rate and had no corresponding control on the checklist.</t>
  </si>
  <si>
    <t xml:space="preserve">C2.5 Routing Decision Integrity</t>
  </si>
  <si>
    <t xml:space="preserve">The red-team finding is that routing to human review was bypassed. No control verifies that a high-risk classification resulted in actual queue placement, so the bypass is silent. Also the evidential control DPIA GAP-05 requires for the Article 22 position.</t>
  </si>
  <si>
    <t xml:space="preserve">C3.4 Model Provenance Attestation</t>
  </si>
  <si>
    <t xml:space="preserve">Scenario §6.3 establishes the v2.4 build used NeuralCore v3.3.2 as a fact discovered during CVE response rather than retrieved from an attestation record. Without provenance, advisory triage is manual and may be inconclusive.</t>
  </si>
  <si>
    <t xml:space="preserve">Layer crosswalk</t>
  </si>
  <si>
    <t xml:space="preserve">Added as a sheet</t>
  </si>
  <si>
    <t xml:space="preserve">The checklist and the AML report use different three-layer taxonomies, so §3.3 findings could not be traced to the controls that produced them. Building the crosswalk surfaced the structural finding: the AML report assesses only the inference path, leaving four Data &amp; Governance controls unexamined — which is where the CVE exposure sits.</t>
  </si>
  <si>
    <t xml:space="preserve">Severity ratings realigned to red-team scoring</t>
  </si>
  <si>
    <t xml:space="preserve">DID-01, DID-03, DID-09 rated CRITICAL</t>
  </si>
  <si>
    <t xml:space="preserve">Rated HIGH</t>
  </si>
  <si>
    <t xml:space="preserve">Reconciliation with MHP-ADV-REP-2026-v1. The earlier ratings credited each surface with enabling downstream exploits, which inflates every upstream control to the severity of the worst thing it leads to. The red team rated on direct impact using the rubric's Section 3 matrix and its ratings are internally consistent; that method is adopted. CRITICAL count falls from five to two, both attached to ADV-03.</t>
  </si>
</sst>
</file>

<file path=xl/styles.xml><?xml version="1.0" encoding="utf-8"?>
<styleSheet xmlns="http://schemas.openxmlformats.org/spreadsheetml/2006/main">
  <numFmts count="3">
    <numFmt numFmtId="164" formatCode="General"/>
    <numFmt numFmtId="165" formatCode="General"/>
    <numFmt numFmtId="166" formatCode="0.0%"/>
  </numFmts>
  <fonts count="2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color rgb="FFFFFFFF"/>
      <name val="Arial"/>
      <family val="0"/>
      <charset val="1"/>
    </font>
    <font>
      <sz val="9"/>
      <name val="Arial"/>
      <family val="0"/>
      <charset val="1"/>
    </font>
    <font>
      <b val="true"/>
      <sz val="10"/>
      <color rgb="FFC00000"/>
      <name val="Arial"/>
      <family val="0"/>
      <charset val="1"/>
    </font>
    <font>
      <b val="true"/>
      <sz val="10"/>
      <color rgb="FF595959"/>
      <name val="Arial"/>
      <family val="0"/>
      <charset val="1"/>
    </font>
    <font>
      <i val="true"/>
      <sz val="9"/>
      <color rgb="FF833C00"/>
      <name val="Arial"/>
      <family val="0"/>
      <charset val="1"/>
    </font>
    <font>
      <i val="true"/>
      <sz val="8"/>
      <color rgb="FF833C00"/>
      <name val="Arial"/>
      <family val="0"/>
      <charset val="1"/>
    </font>
    <font>
      <b val="true"/>
      <sz val="9"/>
      <color rgb="FFFFFFFF"/>
      <name val="Arial"/>
      <family val="0"/>
      <charset val="1"/>
    </font>
    <font>
      <b val="true"/>
      <sz val="9"/>
      <color rgb="FF1F3864"/>
      <name val="Arial"/>
      <family val="0"/>
      <charset val="1"/>
    </font>
    <font>
      <sz val="8"/>
      <name val="Arial"/>
      <family val="0"/>
      <charset val="1"/>
    </font>
    <font>
      <b val="true"/>
      <sz val="9"/>
      <color rgb="FF833C00"/>
      <name val="Arial"/>
      <family val="0"/>
      <charset val="1"/>
    </font>
    <font>
      <b val="true"/>
      <sz val="8"/>
      <color rgb="FFC00000"/>
      <name val="Arial"/>
      <family val="0"/>
      <charset val="1"/>
    </font>
    <font>
      <b val="true"/>
      <sz val="9"/>
      <color rgb="FF1F6B3B"/>
      <name val="Arial"/>
      <family val="0"/>
      <charset val="1"/>
    </font>
    <font>
      <b val="true"/>
      <sz val="9"/>
      <color rgb="FFC00000"/>
      <name val="Arial"/>
      <family val="0"/>
      <charset val="1"/>
    </font>
    <font>
      <b val="true"/>
      <sz val="10"/>
      <color rgb="FF1F3864"/>
      <name val="Arial"/>
      <family val="0"/>
      <charset val="1"/>
    </font>
    <font>
      <b val="true"/>
      <sz val="9"/>
      <name val="Arial"/>
      <family val="0"/>
      <charset val="1"/>
    </font>
    <font>
      <b val="true"/>
      <sz val="8"/>
      <color rgb="FF833C00"/>
      <name val="Arial"/>
      <family val="0"/>
      <charset val="1"/>
    </font>
  </fonts>
  <fills count="7">
    <fill>
      <patternFill patternType="none"/>
    </fill>
    <fill>
      <patternFill patternType="gray125"/>
    </fill>
    <fill>
      <patternFill patternType="solid">
        <fgColor rgb="FF2E5496"/>
        <bgColor rgb="FF1F3864"/>
      </patternFill>
    </fill>
    <fill>
      <patternFill patternType="solid">
        <fgColor rgb="FFFFF2CC"/>
        <bgColor rgb="FFFBE4E4"/>
      </patternFill>
    </fill>
    <fill>
      <patternFill patternType="solid">
        <fgColor rgb="FFE2EFDA"/>
        <bgColor rgb="FFD9E2F3"/>
      </patternFill>
    </fill>
    <fill>
      <patternFill patternType="solid">
        <fgColor rgb="FFFBE4E4"/>
        <bgColor rgb="FFFFF2CC"/>
      </patternFill>
    </fill>
    <fill>
      <patternFill patternType="solid">
        <fgColor rgb="FFD9E2F3"/>
        <bgColor rgb="FFE2EFDA"/>
      </patternFill>
    </fill>
  </fills>
  <borders count="2">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6" fontId="9" fillId="0"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5"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center" vertical="center" textRotation="0" wrapText="false" indent="0" shrinkToFit="false"/>
      <protection locked="true" hidden="false"/>
    </xf>
    <xf numFmtId="164" fontId="17" fillId="4" borderId="1" xfId="0" applyFont="true" applyBorder="true" applyAlignment="true" applyProtection="false">
      <alignment horizontal="center" vertical="center" textRotation="0" wrapText="true" indent="0" shrinkToFit="false"/>
      <protection locked="true" hidden="false"/>
    </xf>
    <xf numFmtId="164" fontId="18" fillId="5" borderId="1" xfId="0" applyFont="true" applyBorder="true" applyAlignment="true" applyProtection="false">
      <alignment horizontal="center" vertical="center" textRotation="0" wrapText="tru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0" fillId="0" borderId="1" xfId="0" applyFont="true" applyBorder="true" applyAlignment="true" applyProtection="false">
      <alignment horizontal="general" vertical="bottom" textRotation="0" wrapText="false" indent="0" shrinkToFit="false"/>
      <protection locked="true" hidden="false"/>
    </xf>
    <xf numFmtId="165" fontId="18" fillId="0" borderId="1" xfId="0" applyFont="true" applyBorder="true" applyAlignment="true" applyProtection="false">
      <alignment horizontal="center" vertical="bottom" textRotation="0" wrapText="false" indent="0" shrinkToFit="false"/>
      <protection locked="true" hidden="false"/>
    </xf>
    <xf numFmtId="166" fontId="18" fillId="0" borderId="1" xfId="0" applyFont="true" applyBorder="true" applyAlignment="true" applyProtection="false">
      <alignment horizontal="center" vertical="bottom" textRotation="0" wrapText="false" indent="0" shrinkToFit="false"/>
      <protection locked="true" hidden="false"/>
    </xf>
    <xf numFmtId="164" fontId="21" fillId="3" borderId="1" xfId="0" applyFont="true" applyBorder="true" applyAlignment="true" applyProtection="false">
      <alignment horizontal="general" vertical="top" textRotation="0" wrapText="true" indent="0" shrinkToFit="false"/>
      <protection locked="true" hidden="false"/>
    </xf>
    <xf numFmtId="164" fontId="13" fillId="6" borderId="1" xfId="0" applyFont="true" applyBorder="true" applyAlignment="true" applyProtection="false">
      <alignment horizontal="center" vertical="center" textRotation="0" wrapText="true" indent="0" shrinkToFit="false"/>
      <protection locked="true" hidden="false"/>
    </xf>
    <xf numFmtId="164" fontId="14" fillId="3" borderId="1" xfId="0" applyFont="true" applyBorder="true" applyAlignment="true" applyProtection="false">
      <alignment horizontal="general" vertical="top"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1F6B3B"/>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BE4E4"/>
      <rgbColor rgb="FF3366FF"/>
      <rgbColor rgb="FF33CCCC"/>
      <rgbColor rgb="FF99CC00"/>
      <rgbColor rgb="FFFFCC00"/>
      <rgbColor rgb="FFFF9900"/>
      <rgbColor rgb="FFFF6600"/>
      <rgbColor rgb="FF595959"/>
      <rgbColor rgb="FFA6A6A6"/>
      <rgbColor rgb="FF1F3864"/>
      <rgbColor rgb="FF339966"/>
      <rgbColor rgb="FF003300"/>
      <rgbColor rgb="FF333300"/>
      <rgbColor rgb="FF833C00"/>
      <rgbColor rgb="FF993366"/>
      <rgbColor rgb="FF2E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6"/>
    <col collapsed="false" customWidth="true" hidden="false" outlineLevel="0" max="3" min="3" style="1" width="18"/>
    <col collapsed="false" customWidth="true" hidden="false" outlineLevel="0" max="4" min="4" style="1" width="16"/>
  </cols>
  <sheetData>
    <row r="1" customFormat="false" ht="17.25" hidden="false" customHeight="true" outlineLevel="0" collapsed="false">
      <c r="A1" s="2" t="s">
        <v>0</v>
      </c>
    </row>
    <row r="2" customFormat="false" ht="25.5" hidden="false" customHeight="true" outlineLevel="0" collapsed="false">
      <c r="A2" s="3" t="s">
        <v>1</v>
      </c>
    </row>
    <row r="4" customFormat="false" ht="15" hidden="false" customHeight="true" outlineLevel="0" collapsed="false">
      <c r="A4" s="4" t="s">
        <v>2</v>
      </c>
      <c r="B4" s="4" t="s">
        <v>3</v>
      </c>
      <c r="C4" s="4" t="s">
        <v>4</v>
      </c>
      <c r="D4" s="4" t="s">
        <v>5</v>
      </c>
    </row>
    <row r="5" customFormat="false" ht="15" hidden="false" customHeight="true" outlineLevel="0" collapsed="false">
      <c r="A5" s="5" t="s">
        <v>6</v>
      </c>
      <c r="B5" s="6" t="n">
        <f aca="false">COUNTA('Control Checklist'!A6:A17)</f>
        <v>12</v>
      </c>
      <c r="C5" s="7" t="n">
        <v>9</v>
      </c>
      <c r="D5" s="7" t="n">
        <f aca="false">B5-C5</f>
        <v>3</v>
      </c>
    </row>
    <row r="6" customFormat="false" ht="15" hidden="false" customHeight="true" outlineLevel="0" collapsed="false">
      <c r="A6" s="5" t="s">
        <v>7</v>
      </c>
      <c r="B6" s="6" t="n">
        <f aca="false">COUNTIF('Control Checklist'!E6:E17,"Compliant")</f>
        <v>3</v>
      </c>
      <c r="C6" s="7" t="n">
        <v>5</v>
      </c>
      <c r="D6" s="7" t="n">
        <f aca="false">B6-C6</f>
        <v>-2</v>
      </c>
    </row>
    <row r="7" customFormat="false" ht="15" hidden="false" customHeight="true" outlineLevel="0" collapsed="false">
      <c r="A7" s="5" t="s">
        <v>8</v>
      </c>
      <c r="B7" s="6" t="n">
        <f aca="false">COUNTIF('Control Checklist'!E6:E17,"Partially Compliant")</f>
        <v>2</v>
      </c>
      <c r="C7" s="7" t="n">
        <v>1</v>
      </c>
      <c r="D7" s="7" t="n">
        <f aca="false">B7-C7</f>
        <v>1</v>
      </c>
    </row>
    <row r="8" customFormat="false" ht="15" hidden="false" customHeight="true" outlineLevel="0" collapsed="false">
      <c r="A8" s="5" t="s">
        <v>9</v>
      </c>
      <c r="B8" s="6" t="n">
        <f aca="false">COUNTIF('Control Checklist'!E6:E17,"Non-Compliant")</f>
        <v>7</v>
      </c>
      <c r="C8" s="7" t="n">
        <v>3</v>
      </c>
      <c r="D8" s="7" t="n">
        <f aca="false">B8-C8</f>
        <v>4</v>
      </c>
    </row>
    <row r="9" customFormat="false" ht="15" hidden="false" customHeight="true" outlineLevel="0" collapsed="false">
      <c r="A9" s="5" t="s">
        <v>10</v>
      </c>
      <c r="B9" s="8" t="n">
        <f aca="false">COUNTIF('Control Checklist'!E6:E17,"Compliant")/COUNTA('Control Checklist'!A6:A17)</f>
        <v>0.25</v>
      </c>
      <c r="C9" s="9" t="n">
        <f aca="false">5/9</f>
        <v>0.555555555555556</v>
      </c>
      <c r="D9" s="9" t="n">
        <f aca="false">B9-C9</f>
        <v>-0.305555555555556</v>
      </c>
    </row>
    <row r="10" customFormat="false" ht="15" hidden="false" customHeight="true" outlineLevel="0" collapsed="false">
      <c r="A10" s="5" t="s">
        <v>11</v>
      </c>
      <c r="B10" s="6" t="n">
        <f aca="false">COUNTIF('Identified Gaps'!I5:I13,"CRITICAL")</f>
        <v>2</v>
      </c>
      <c r="C10" s="7" t="n">
        <v>0</v>
      </c>
      <c r="D10" s="7" t="n">
        <f aca="false">B10-C10</f>
        <v>2</v>
      </c>
    </row>
    <row r="11" customFormat="false" ht="15" hidden="false" customHeight="true" outlineLevel="0" collapsed="false">
      <c r="A11" s="5" t="s">
        <v>12</v>
      </c>
      <c r="B11" s="6" t="n">
        <f aca="false">COUNTIF('Identified Gaps'!D5:D13,"NOT COVERED*")</f>
        <v>4</v>
      </c>
      <c r="C11" s="7" t="n">
        <v>0</v>
      </c>
      <c r="D11" s="7" t="n">
        <f aca="false">B11-C11</f>
        <v>4</v>
      </c>
    </row>
    <row r="13" customFormat="false" ht="61.5" hidden="false" customHeight="true" outlineLevel="0" collapsed="false">
      <c r="A13" s="10" t="s">
        <v>13</v>
      </c>
      <c r="B13" s="10"/>
      <c r="C13" s="10"/>
      <c r="D13" s="10"/>
    </row>
    <row r="15" customFormat="false" ht="57.75" hidden="false" customHeight="true" outlineLevel="0" collapsed="false">
      <c r="A15" s="10" t="s">
        <v>14</v>
      </c>
      <c r="B15" s="10"/>
      <c r="C15" s="10"/>
      <c r="D15" s="10"/>
    </row>
  </sheetData>
  <mergeCells count="2">
    <mergeCell ref="A13:D13"/>
    <mergeCell ref="A15:D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0"/>
    <col collapsed="false" customWidth="true" hidden="false" outlineLevel="0" max="3" min="3" style="1" width="26"/>
    <col collapsed="false" customWidth="true" hidden="false" outlineLevel="0" max="4" min="4" style="1" width="34"/>
    <col collapsed="false" customWidth="true" hidden="false" outlineLevel="0" max="5" min="5" style="1" width="17"/>
    <col collapsed="false" customWidth="true" hidden="false" outlineLevel="0" max="6" min="6" style="1" width="50"/>
    <col collapsed="false" customWidth="true" hidden="false" outlineLevel="0" max="7" min="7" style="1" width="34"/>
    <col collapsed="false" customWidth="true" hidden="false" outlineLevel="0" max="8" min="8" style="1" width="20"/>
  </cols>
  <sheetData>
    <row r="1" customFormat="false" ht="17.25" hidden="false" customHeight="true" outlineLevel="0" collapsed="false">
      <c r="A1" s="2" t="s">
        <v>15</v>
      </c>
    </row>
    <row r="2" customFormat="false" ht="25.5" hidden="false" customHeight="true" outlineLevel="0" collapsed="false">
      <c r="A2" s="3" t="s">
        <v>16</v>
      </c>
    </row>
    <row r="3" customFormat="false" ht="27.75" hidden="false" customHeight="true" outlineLevel="0" collapsed="false">
      <c r="A3" s="11" t="s">
        <v>17</v>
      </c>
      <c r="B3" s="11"/>
      <c r="C3" s="11"/>
      <c r="D3" s="11"/>
      <c r="E3" s="11"/>
      <c r="F3" s="11"/>
      <c r="G3" s="11"/>
      <c r="H3" s="11"/>
    </row>
    <row r="5" customFormat="false" ht="43.5" hidden="false" customHeight="true" outlineLevel="0" collapsed="false">
      <c r="A5" s="12" t="s">
        <v>18</v>
      </c>
      <c r="B5" s="12" t="s">
        <v>19</v>
      </c>
      <c r="C5" s="12" t="s">
        <v>20</v>
      </c>
      <c r="D5" s="12" t="s">
        <v>21</v>
      </c>
      <c r="E5" s="12" t="s">
        <v>22</v>
      </c>
      <c r="F5" s="12" t="s">
        <v>23</v>
      </c>
      <c r="G5" s="12" t="s">
        <v>24</v>
      </c>
      <c r="H5" s="12" t="s">
        <v>25</v>
      </c>
    </row>
    <row r="6" customFormat="false" ht="150" hidden="false" customHeight="true" outlineLevel="0" collapsed="false">
      <c r="A6" s="13" t="s">
        <v>26</v>
      </c>
      <c r="B6" s="14" t="s">
        <v>27</v>
      </c>
      <c r="C6" s="14" t="s">
        <v>28</v>
      </c>
      <c r="D6" s="14" t="s">
        <v>29</v>
      </c>
      <c r="E6" s="15" t="s">
        <v>8</v>
      </c>
      <c r="F6" s="14" t="s">
        <v>30</v>
      </c>
      <c r="G6" s="14" t="s">
        <v>31</v>
      </c>
      <c r="H6" s="16" t="s">
        <v>32</v>
      </c>
    </row>
    <row r="7" customFormat="false" ht="150" hidden="false" customHeight="true" outlineLevel="0" collapsed="false">
      <c r="A7" s="13" t="s">
        <v>33</v>
      </c>
      <c r="B7" s="14" t="s">
        <v>27</v>
      </c>
      <c r="C7" s="14" t="s">
        <v>34</v>
      </c>
      <c r="D7" s="14" t="s">
        <v>35</v>
      </c>
      <c r="E7" s="17" t="s">
        <v>7</v>
      </c>
      <c r="F7" s="14" t="s">
        <v>36</v>
      </c>
      <c r="G7" s="14" t="s">
        <v>37</v>
      </c>
      <c r="H7" s="16" t="s">
        <v>38</v>
      </c>
    </row>
    <row r="8" customFormat="false" ht="150" hidden="false" customHeight="true" outlineLevel="0" collapsed="false">
      <c r="A8" s="13" t="s">
        <v>39</v>
      </c>
      <c r="B8" s="14" t="s">
        <v>27</v>
      </c>
      <c r="C8" s="14" t="s">
        <v>40</v>
      </c>
      <c r="D8" s="14" t="s">
        <v>41</v>
      </c>
      <c r="E8" s="18" t="s">
        <v>42</v>
      </c>
      <c r="F8" s="14" t="s">
        <v>43</v>
      </c>
      <c r="G8" s="14" t="s">
        <v>44</v>
      </c>
      <c r="H8" s="16" t="s">
        <v>45</v>
      </c>
    </row>
    <row r="9" customFormat="false" ht="150" hidden="false" customHeight="true" outlineLevel="0" collapsed="false">
      <c r="A9" s="13" t="s">
        <v>46</v>
      </c>
      <c r="B9" s="14" t="s">
        <v>47</v>
      </c>
      <c r="C9" s="14" t="s">
        <v>48</v>
      </c>
      <c r="D9" s="14" t="s">
        <v>49</v>
      </c>
      <c r="E9" s="15" t="s">
        <v>8</v>
      </c>
      <c r="F9" s="14" t="s">
        <v>50</v>
      </c>
      <c r="G9" s="14" t="s">
        <v>51</v>
      </c>
      <c r="H9" s="16" t="s">
        <v>52</v>
      </c>
    </row>
    <row r="10" customFormat="false" ht="189.75" hidden="false" customHeight="true" outlineLevel="0" collapsed="false">
      <c r="A10" s="13" t="s">
        <v>53</v>
      </c>
      <c r="B10" s="14" t="s">
        <v>47</v>
      </c>
      <c r="C10" s="14" t="s">
        <v>54</v>
      </c>
      <c r="D10" s="14" t="s">
        <v>55</v>
      </c>
      <c r="E10" s="18" t="s">
        <v>42</v>
      </c>
      <c r="F10" s="14" t="s">
        <v>56</v>
      </c>
      <c r="G10" s="14" t="s">
        <v>57</v>
      </c>
      <c r="H10" s="16" t="s">
        <v>58</v>
      </c>
    </row>
    <row r="11" customFormat="false" ht="150" hidden="false" customHeight="true" outlineLevel="0" collapsed="false">
      <c r="A11" s="13" t="s">
        <v>59</v>
      </c>
      <c r="B11" s="14" t="s">
        <v>47</v>
      </c>
      <c r="C11" s="14" t="s">
        <v>60</v>
      </c>
      <c r="D11" s="14" t="s">
        <v>61</v>
      </c>
      <c r="E11" s="17" t="s">
        <v>7</v>
      </c>
      <c r="F11" s="14" t="s">
        <v>62</v>
      </c>
      <c r="G11" s="14" t="s">
        <v>63</v>
      </c>
      <c r="H11" s="16" t="s">
        <v>38</v>
      </c>
    </row>
    <row r="12" customFormat="false" ht="150" hidden="false" customHeight="true" outlineLevel="0" collapsed="false">
      <c r="A12" s="13" t="s">
        <v>64</v>
      </c>
      <c r="B12" s="14" t="s">
        <v>47</v>
      </c>
      <c r="C12" s="14" t="s">
        <v>65</v>
      </c>
      <c r="D12" s="14" t="s">
        <v>66</v>
      </c>
      <c r="E12" s="18" t="s">
        <v>42</v>
      </c>
      <c r="F12" s="14" t="s">
        <v>67</v>
      </c>
      <c r="G12" s="14" t="s">
        <v>68</v>
      </c>
      <c r="H12" s="16" t="s">
        <v>69</v>
      </c>
    </row>
    <row r="13" customFormat="false" ht="150" hidden="false" customHeight="true" outlineLevel="0" collapsed="false">
      <c r="A13" s="13" t="s">
        <v>70</v>
      </c>
      <c r="B13" s="14" t="s">
        <v>47</v>
      </c>
      <c r="C13" s="14" t="s">
        <v>71</v>
      </c>
      <c r="D13" s="14" t="s">
        <v>72</v>
      </c>
      <c r="E13" s="18" t="s">
        <v>42</v>
      </c>
      <c r="F13" s="14" t="s">
        <v>73</v>
      </c>
      <c r="G13" s="14" t="s">
        <v>74</v>
      </c>
      <c r="H13" s="16" t="s">
        <v>75</v>
      </c>
    </row>
    <row r="14" customFormat="false" ht="150" hidden="false" customHeight="true" outlineLevel="0" collapsed="false">
      <c r="A14" s="13" t="s">
        <v>76</v>
      </c>
      <c r="B14" s="14" t="s">
        <v>77</v>
      </c>
      <c r="C14" s="14" t="s">
        <v>78</v>
      </c>
      <c r="D14" s="14" t="s">
        <v>79</v>
      </c>
      <c r="E14" s="18" t="s">
        <v>42</v>
      </c>
      <c r="F14" s="14" t="s">
        <v>80</v>
      </c>
      <c r="G14" s="14" t="s">
        <v>81</v>
      </c>
      <c r="H14" s="16" t="s">
        <v>82</v>
      </c>
    </row>
    <row r="15" customFormat="false" ht="150" hidden="false" customHeight="true" outlineLevel="0" collapsed="false">
      <c r="A15" s="13" t="s">
        <v>83</v>
      </c>
      <c r="B15" s="14" t="s">
        <v>77</v>
      </c>
      <c r="C15" s="14" t="s">
        <v>84</v>
      </c>
      <c r="D15" s="14" t="s">
        <v>85</v>
      </c>
      <c r="E15" s="17" t="s">
        <v>7</v>
      </c>
      <c r="F15" s="14" t="s">
        <v>86</v>
      </c>
      <c r="G15" s="14" t="s">
        <v>37</v>
      </c>
      <c r="H15" s="16" t="s">
        <v>38</v>
      </c>
    </row>
    <row r="16" customFormat="false" ht="150" hidden="false" customHeight="true" outlineLevel="0" collapsed="false">
      <c r="A16" s="13" t="s">
        <v>87</v>
      </c>
      <c r="B16" s="14" t="s">
        <v>77</v>
      </c>
      <c r="C16" s="14" t="s">
        <v>88</v>
      </c>
      <c r="D16" s="14" t="s">
        <v>89</v>
      </c>
      <c r="E16" s="18" t="s">
        <v>42</v>
      </c>
      <c r="F16" s="14" t="s">
        <v>90</v>
      </c>
      <c r="G16" s="14" t="s">
        <v>91</v>
      </c>
      <c r="H16" s="16" t="s">
        <v>82</v>
      </c>
    </row>
    <row r="17" customFormat="false" ht="150" hidden="false" customHeight="true" outlineLevel="0" collapsed="false">
      <c r="A17" s="13" t="s">
        <v>92</v>
      </c>
      <c r="B17" s="14" t="s">
        <v>77</v>
      </c>
      <c r="C17" s="14" t="s">
        <v>93</v>
      </c>
      <c r="D17" s="14" t="s">
        <v>94</v>
      </c>
      <c r="E17" s="18" t="s">
        <v>42</v>
      </c>
      <c r="F17" s="14" t="s">
        <v>95</v>
      </c>
      <c r="G17" s="14" t="s">
        <v>96</v>
      </c>
      <c r="H17" s="16" t="s">
        <v>82</v>
      </c>
    </row>
    <row r="19" customFormat="false" ht="15" hidden="false" customHeight="true" outlineLevel="0" collapsed="false">
      <c r="A19" s="19" t="s">
        <v>97</v>
      </c>
    </row>
    <row r="20" customFormat="false" ht="15" hidden="false" customHeight="true" outlineLevel="0" collapsed="false">
      <c r="A20" s="20" t="s">
        <v>6</v>
      </c>
      <c r="B20" s="21" t="n">
        <f aca="false">COUNTA(A6:A17)</f>
        <v>12</v>
      </c>
    </row>
    <row r="21" customFormat="false" ht="15" hidden="false" customHeight="true" outlineLevel="0" collapsed="false">
      <c r="A21" s="20" t="s">
        <v>7</v>
      </c>
      <c r="B21" s="21" t="n">
        <f aca="false">COUNTIF(E6:E17,"Compliant")</f>
        <v>3</v>
      </c>
    </row>
    <row r="22" customFormat="false" ht="15" hidden="false" customHeight="true" outlineLevel="0" collapsed="false">
      <c r="A22" s="20" t="s">
        <v>8</v>
      </c>
      <c r="B22" s="21" t="n">
        <f aca="false">COUNTIF(E6:E17,"Partially Compliant")</f>
        <v>2</v>
      </c>
    </row>
    <row r="23" customFormat="false" ht="15" hidden="false" customHeight="true" outlineLevel="0" collapsed="false">
      <c r="A23" s="20" t="s">
        <v>42</v>
      </c>
      <c r="B23" s="21" t="n">
        <f aca="false">COUNTIF(E6:E17,"Non-Compliant")</f>
        <v>7</v>
      </c>
    </row>
    <row r="24" customFormat="false" ht="15" hidden="false" customHeight="true" outlineLevel="0" collapsed="false">
      <c r="A24" s="20" t="s">
        <v>10</v>
      </c>
      <c r="B24" s="22" t="n">
        <f aca="false">COUNTIF(E6:E17,"Compliant")/COUNTA(A6:A17)</f>
        <v>0.25</v>
      </c>
    </row>
    <row r="26" customFormat="false" ht="43.5" hidden="false" customHeight="true" outlineLevel="0" collapsed="false">
      <c r="A26" s="11" t="s">
        <v>98</v>
      </c>
      <c r="B26" s="11"/>
      <c r="C26" s="11"/>
      <c r="D26" s="11"/>
      <c r="E26" s="11"/>
      <c r="F26" s="11"/>
      <c r="G26" s="11"/>
      <c r="H26" s="11"/>
    </row>
  </sheetData>
  <mergeCells count="2">
    <mergeCell ref="A3:H3"/>
    <mergeCell ref="A26:H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0"/>
    <col collapsed="false" customWidth="true" hidden="false" outlineLevel="0" max="3" min="3" style="1" width="20"/>
    <col collapsed="false" customWidth="true" hidden="false" outlineLevel="0" max="4" min="4" style="1" width="18"/>
    <col collapsed="false" customWidth="true" hidden="false" outlineLevel="0" max="5" min="5" style="1" width="44"/>
    <col collapsed="false" customWidth="true" hidden="false" outlineLevel="0" max="6" min="6" style="1" width="54"/>
    <col collapsed="false" customWidth="true" hidden="false" outlineLevel="0" max="8" min="7" style="1" width="20"/>
    <col collapsed="false" customWidth="true" hidden="false" outlineLevel="0" max="9" min="9" style="1" width="14"/>
    <col collapsed="false" customWidth="true" hidden="false" outlineLevel="0" max="10" min="10" style="1" width="16"/>
    <col collapsed="false" customWidth="true" hidden="false" outlineLevel="0" max="11" min="11" style="0" width="40"/>
  </cols>
  <sheetData>
    <row r="1" customFormat="false" ht="17.25" hidden="false" customHeight="true" outlineLevel="0" collapsed="false">
      <c r="A1" s="2" t="s">
        <v>99</v>
      </c>
    </row>
    <row r="2" customFormat="false" ht="25.5" hidden="false" customHeight="true" outlineLevel="0" collapsed="false">
      <c r="A2" s="3" t="s">
        <v>100</v>
      </c>
    </row>
    <row r="4" customFormat="false" ht="39.75" hidden="false" customHeight="true" outlineLevel="0" collapsed="false">
      <c r="A4" s="12" t="s">
        <v>101</v>
      </c>
      <c r="B4" s="12" t="s">
        <v>102</v>
      </c>
      <c r="C4" s="12" t="s">
        <v>19</v>
      </c>
      <c r="D4" s="12" t="s">
        <v>103</v>
      </c>
      <c r="E4" s="12" t="s">
        <v>104</v>
      </c>
      <c r="F4" s="12" t="s">
        <v>105</v>
      </c>
      <c r="G4" s="12" t="s">
        <v>106</v>
      </c>
      <c r="H4" s="12" t="s">
        <v>107</v>
      </c>
      <c r="I4" s="12" t="s">
        <v>108</v>
      </c>
      <c r="J4" s="12" t="s">
        <v>109</v>
      </c>
      <c r="K4" s="12" t="s">
        <v>110</v>
      </c>
    </row>
    <row r="5" customFormat="false" ht="154.5" hidden="false" customHeight="true" outlineLevel="0" collapsed="false">
      <c r="A5" s="13" t="s">
        <v>111</v>
      </c>
      <c r="B5" s="14" t="s">
        <v>64</v>
      </c>
      <c r="C5" s="14" t="s">
        <v>47</v>
      </c>
      <c r="D5" s="14" t="s">
        <v>112</v>
      </c>
      <c r="E5" s="14" t="s">
        <v>113</v>
      </c>
      <c r="F5" s="14" t="s">
        <v>114</v>
      </c>
      <c r="G5" s="14" t="s">
        <v>115</v>
      </c>
      <c r="H5" s="14" t="s">
        <v>116</v>
      </c>
      <c r="I5" s="15" t="s">
        <v>117</v>
      </c>
      <c r="J5" s="15" t="s">
        <v>118</v>
      </c>
      <c r="K5" s="14" t="s">
        <v>119</v>
      </c>
    </row>
    <row r="6" customFormat="false" ht="154.5" hidden="false" customHeight="true" outlineLevel="0" collapsed="false">
      <c r="A6" s="13" t="s">
        <v>120</v>
      </c>
      <c r="B6" s="14" t="s">
        <v>53</v>
      </c>
      <c r="C6" s="14" t="s">
        <v>47</v>
      </c>
      <c r="D6" s="14" t="s">
        <v>121</v>
      </c>
      <c r="E6" s="14" t="s">
        <v>122</v>
      </c>
      <c r="F6" s="14" t="s">
        <v>123</v>
      </c>
      <c r="G6" s="14" t="s">
        <v>124</v>
      </c>
      <c r="H6" s="14" t="s">
        <v>125</v>
      </c>
      <c r="I6" s="18" t="s">
        <v>126</v>
      </c>
      <c r="J6" s="18" t="s">
        <v>127</v>
      </c>
      <c r="K6" s="14" t="s">
        <v>128</v>
      </c>
    </row>
    <row r="7" customFormat="false" ht="154.5" hidden="false" customHeight="true" outlineLevel="0" collapsed="false">
      <c r="A7" s="13" t="s">
        <v>129</v>
      </c>
      <c r="B7" s="14" t="s">
        <v>39</v>
      </c>
      <c r="C7" s="14" t="s">
        <v>27</v>
      </c>
      <c r="D7" s="14" t="s">
        <v>130</v>
      </c>
      <c r="E7" s="14" t="s">
        <v>131</v>
      </c>
      <c r="F7" s="14" t="s">
        <v>132</v>
      </c>
      <c r="G7" s="14" t="s">
        <v>115</v>
      </c>
      <c r="H7" s="14" t="s">
        <v>133</v>
      </c>
      <c r="I7" s="15" t="s">
        <v>117</v>
      </c>
      <c r="J7" s="15" t="s">
        <v>134</v>
      </c>
      <c r="K7" s="14" t="s">
        <v>135</v>
      </c>
    </row>
    <row r="8" customFormat="false" ht="154.5" hidden="false" customHeight="true" outlineLevel="0" collapsed="false">
      <c r="A8" s="13" t="s">
        <v>136</v>
      </c>
      <c r="B8" s="14" t="s">
        <v>76</v>
      </c>
      <c r="C8" s="14" t="s">
        <v>77</v>
      </c>
      <c r="D8" s="23" t="s">
        <v>137</v>
      </c>
      <c r="E8" s="14" t="s">
        <v>138</v>
      </c>
      <c r="F8" s="14" t="s">
        <v>139</v>
      </c>
      <c r="G8" s="14" t="s">
        <v>140</v>
      </c>
      <c r="H8" s="14" t="s">
        <v>141</v>
      </c>
      <c r="I8" s="15" t="s">
        <v>117</v>
      </c>
      <c r="J8" s="15" t="s">
        <v>142</v>
      </c>
      <c r="K8" s="14" t="s">
        <v>143</v>
      </c>
    </row>
    <row r="9" customFormat="false" ht="154.5" hidden="false" customHeight="true" outlineLevel="0" collapsed="false">
      <c r="A9" s="13" t="s">
        <v>144</v>
      </c>
      <c r="B9" s="14" t="s">
        <v>70</v>
      </c>
      <c r="C9" s="14" t="s">
        <v>47</v>
      </c>
      <c r="D9" s="23" t="s">
        <v>137</v>
      </c>
      <c r="E9" s="14" t="s">
        <v>145</v>
      </c>
      <c r="F9" s="14" t="s">
        <v>146</v>
      </c>
      <c r="G9" s="14" t="s">
        <v>147</v>
      </c>
      <c r="H9" s="14" t="s">
        <v>148</v>
      </c>
      <c r="I9" s="18" t="s">
        <v>126</v>
      </c>
      <c r="J9" s="18" t="s">
        <v>134</v>
      </c>
      <c r="K9" s="14" t="s">
        <v>149</v>
      </c>
    </row>
    <row r="10" customFormat="false" ht="154.5" hidden="false" customHeight="true" outlineLevel="0" collapsed="false">
      <c r="A10" s="13" t="s">
        <v>150</v>
      </c>
      <c r="B10" s="14" t="s">
        <v>87</v>
      </c>
      <c r="C10" s="14" t="s">
        <v>77</v>
      </c>
      <c r="D10" s="23" t="s">
        <v>137</v>
      </c>
      <c r="E10" s="14" t="s">
        <v>151</v>
      </c>
      <c r="F10" s="14" t="s">
        <v>152</v>
      </c>
      <c r="G10" s="14" t="s">
        <v>153</v>
      </c>
      <c r="H10" s="14" t="s">
        <v>154</v>
      </c>
      <c r="I10" s="15" t="s">
        <v>117</v>
      </c>
      <c r="J10" s="15" t="s">
        <v>155</v>
      </c>
      <c r="K10" s="14" t="s">
        <v>156</v>
      </c>
    </row>
    <row r="11" customFormat="false" ht="154.5" hidden="false" customHeight="true" outlineLevel="0" collapsed="false">
      <c r="A11" s="13" t="s">
        <v>157</v>
      </c>
      <c r="B11" s="14" t="s">
        <v>92</v>
      </c>
      <c r="C11" s="14" t="s">
        <v>77</v>
      </c>
      <c r="D11" s="23" t="s">
        <v>137</v>
      </c>
      <c r="E11" s="14" t="s">
        <v>158</v>
      </c>
      <c r="F11" s="14" t="s">
        <v>159</v>
      </c>
      <c r="G11" s="14" t="s">
        <v>160</v>
      </c>
      <c r="H11" s="14" t="s">
        <v>161</v>
      </c>
      <c r="I11" s="24" t="s">
        <v>162</v>
      </c>
      <c r="J11" s="24" t="s">
        <v>155</v>
      </c>
      <c r="K11" s="14" t="s">
        <v>163</v>
      </c>
    </row>
    <row r="12" customFormat="false" ht="154.5" hidden="false" customHeight="true" outlineLevel="0" collapsed="false">
      <c r="A12" s="13" t="s">
        <v>164</v>
      </c>
      <c r="B12" s="14" t="s">
        <v>26</v>
      </c>
      <c r="C12" s="14" t="s">
        <v>27</v>
      </c>
      <c r="D12" s="14" t="s">
        <v>130</v>
      </c>
      <c r="E12" s="14" t="s">
        <v>165</v>
      </c>
      <c r="F12" s="14" t="s">
        <v>166</v>
      </c>
      <c r="G12" s="14" t="s">
        <v>115</v>
      </c>
      <c r="H12" s="14" t="s">
        <v>167</v>
      </c>
      <c r="I12" s="15" t="s">
        <v>117</v>
      </c>
      <c r="J12" s="15" t="s">
        <v>155</v>
      </c>
      <c r="K12" s="14" t="s">
        <v>168</v>
      </c>
    </row>
    <row r="13" customFormat="false" ht="154.5" hidden="false" customHeight="true" outlineLevel="0" collapsed="false">
      <c r="A13" s="13" t="s">
        <v>169</v>
      </c>
      <c r="B13" s="14" t="s">
        <v>46</v>
      </c>
      <c r="C13" s="14" t="s">
        <v>47</v>
      </c>
      <c r="D13" s="14" t="s">
        <v>130</v>
      </c>
      <c r="E13" s="14" t="s">
        <v>170</v>
      </c>
      <c r="F13" s="14" t="s">
        <v>171</v>
      </c>
      <c r="G13" s="14" t="s">
        <v>115</v>
      </c>
      <c r="H13" s="14" t="s">
        <v>133</v>
      </c>
      <c r="I13" s="15" t="s">
        <v>117</v>
      </c>
      <c r="J13" s="15" t="s">
        <v>134</v>
      </c>
      <c r="K13" s="14" t="s">
        <v>172</v>
      </c>
    </row>
    <row r="15" customFormat="false" ht="45.75" hidden="false" customHeight="true" outlineLevel="0" collapsed="false">
      <c r="A15" s="11" t="s">
        <v>173</v>
      </c>
      <c r="B15" s="11"/>
      <c r="C15" s="11"/>
      <c r="D15" s="11"/>
      <c r="E15" s="11"/>
      <c r="F15" s="11"/>
      <c r="G15" s="11"/>
      <c r="H15" s="11"/>
      <c r="I15" s="11"/>
      <c r="J15" s="11"/>
      <c r="K15" s="11"/>
    </row>
  </sheetData>
  <mergeCells count="1">
    <mergeCell ref="A15:K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20"/>
    <col collapsed="false" customWidth="true" hidden="false" outlineLevel="0" max="3" min="3" style="1" width="36"/>
    <col collapsed="false" customWidth="true" hidden="false" outlineLevel="0" max="4" min="4" style="1" width="20"/>
    <col collapsed="false" customWidth="true" hidden="false" outlineLevel="0" max="5" min="5" style="1" width="62"/>
  </cols>
  <sheetData>
    <row r="1" customFormat="false" ht="17.25" hidden="false" customHeight="true" outlineLevel="0" collapsed="false">
      <c r="A1" s="2" t="s">
        <v>174</v>
      </c>
    </row>
    <row r="2" customFormat="false" ht="25.5" hidden="false" customHeight="true" outlineLevel="0" collapsed="false">
      <c r="A2" s="3" t="s">
        <v>175</v>
      </c>
    </row>
    <row r="4" customFormat="false" ht="39.75" hidden="false" customHeight="true" outlineLevel="0" collapsed="false">
      <c r="A4" s="12" t="s">
        <v>176</v>
      </c>
      <c r="B4" s="12" t="s">
        <v>177</v>
      </c>
      <c r="C4" s="12" t="s">
        <v>178</v>
      </c>
      <c r="D4" s="12" t="s">
        <v>179</v>
      </c>
      <c r="E4" s="12" t="s">
        <v>180</v>
      </c>
    </row>
    <row r="5" customFormat="false" ht="129.75" hidden="false" customHeight="true" outlineLevel="0" collapsed="false">
      <c r="A5" s="14" t="s">
        <v>130</v>
      </c>
      <c r="B5" s="14" t="s">
        <v>181</v>
      </c>
      <c r="C5" s="14" t="s">
        <v>182</v>
      </c>
      <c r="D5" s="18" t="s">
        <v>183</v>
      </c>
      <c r="E5" s="14" t="s">
        <v>184</v>
      </c>
    </row>
    <row r="6" customFormat="false" ht="129.75" hidden="false" customHeight="true" outlineLevel="0" collapsed="false">
      <c r="A6" s="14" t="s">
        <v>112</v>
      </c>
      <c r="B6" s="14" t="s">
        <v>181</v>
      </c>
      <c r="C6" s="14" t="s">
        <v>185</v>
      </c>
      <c r="D6" s="18" t="s">
        <v>183</v>
      </c>
      <c r="E6" s="14" t="s">
        <v>186</v>
      </c>
    </row>
    <row r="7" customFormat="false" ht="129.75" hidden="false" customHeight="true" outlineLevel="0" collapsed="false">
      <c r="A7" s="14" t="s">
        <v>121</v>
      </c>
      <c r="B7" s="14" t="s">
        <v>181</v>
      </c>
      <c r="C7" s="14" t="s">
        <v>187</v>
      </c>
      <c r="D7" s="18" t="s">
        <v>183</v>
      </c>
      <c r="E7" s="14" t="s">
        <v>188</v>
      </c>
    </row>
    <row r="8" customFormat="false" ht="129.75" hidden="false" customHeight="true" outlineLevel="0" collapsed="false">
      <c r="A8" s="25" t="s">
        <v>189</v>
      </c>
      <c r="B8" s="25" t="s">
        <v>190</v>
      </c>
      <c r="C8" s="25" t="s">
        <v>191</v>
      </c>
      <c r="D8" s="26" t="s">
        <v>192</v>
      </c>
      <c r="E8" s="25" t="s">
        <v>193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0"/>
    <col collapsed="false" customWidth="true" hidden="false" outlineLevel="0" max="4" min="3" style="1" width="34"/>
    <col collapsed="false" customWidth="true" hidden="false" outlineLevel="0" max="5" min="5" style="1" width="62"/>
  </cols>
  <sheetData>
    <row r="1" customFormat="false" ht="17.25" hidden="false" customHeight="true" outlineLevel="0" collapsed="false">
      <c r="A1" s="2" t="s">
        <v>194</v>
      </c>
    </row>
    <row r="2" customFormat="false" ht="25.5" hidden="false" customHeight="true" outlineLevel="0" collapsed="false">
      <c r="A2" s="3" t="s">
        <v>195</v>
      </c>
    </row>
    <row r="4" customFormat="false" ht="39.75" hidden="false" customHeight="true" outlineLevel="0" collapsed="false">
      <c r="A4" s="12" t="s">
        <v>196</v>
      </c>
      <c r="B4" s="12" t="s">
        <v>5</v>
      </c>
      <c r="C4" s="12" t="s">
        <v>4</v>
      </c>
      <c r="D4" s="12" t="s">
        <v>197</v>
      </c>
      <c r="E4" s="12" t="s">
        <v>198</v>
      </c>
    </row>
    <row r="5" customFormat="false" ht="124.5" hidden="false" customHeight="true" outlineLevel="0" collapsed="false">
      <c r="A5" s="13" t="n">
        <v>1</v>
      </c>
      <c r="B5" s="14" t="s">
        <v>199</v>
      </c>
      <c r="C5" s="14" t="s">
        <v>200</v>
      </c>
      <c r="D5" s="14" t="s">
        <v>42</v>
      </c>
      <c r="E5" s="14" t="s">
        <v>201</v>
      </c>
    </row>
    <row r="6" customFormat="false" ht="124.5" hidden="false" customHeight="true" outlineLevel="0" collapsed="false">
      <c r="A6" s="13" t="n">
        <v>2</v>
      </c>
      <c r="B6" s="14" t="s">
        <v>202</v>
      </c>
      <c r="C6" s="14" t="s">
        <v>203</v>
      </c>
      <c r="D6" s="14" t="s">
        <v>8</v>
      </c>
      <c r="E6" s="14" t="s">
        <v>204</v>
      </c>
    </row>
    <row r="7" customFormat="false" ht="124.5" hidden="false" customHeight="true" outlineLevel="0" collapsed="false">
      <c r="A7" s="13" t="n">
        <v>3</v>
      </c>
      <c r="B7" s="14" t="s">
        <v>205</v>
      </c>
      <c r="C7" s="14" t="s">
        <v>206</v>
      </c>
      <c r="D7" s="14" t="s">
        <v>207</v>
      </c>
      <c r="E7" s="14" t="s">
        <v>208</v>
      </c>
    </row>
    <row r="8" customFormat="false" ht="124.5" hidden="false" customHeight="true" outlineLevel="0" collapsed="false">
      <c r="A8" s="13" t="n">
        <v>4</v>
      </c>
      <c r="B8" s="14" t="s">
        <v>209</v>
      </c>
      <c r="C8" s="14" t="s">
        <v>206</v>
      </c>
      <c r="D8" s="14" t="s">
        <v>207</v>
      </c>
      <c r="E8" s="14" t="s">
        <v>210</v>
      </c>
    </row>
    <row r="9" customFormat="false" ht="124.5" hidden="false" customHeight="true" outlineLevel="0" collapsed="false">
      <c r="A9" s="13" t="n">
        <v>5</v>
      </c>
      <c r="B9" s="14" t="s">
        <v>211</v>
      </c>
      <c r="C9" s="14" t="s">
        <v>206</v>
      </c>
      <c r="D9" s="14" t="s">
        <v>207</v>
      </c>
      <c r="E9" s="14" t="s">
        <v>212</v>
      </c>
    </row>
    <row r="10" customFormat="false" ht="124.5" hidden="false" customHeight="true" outlineLevel="0" collapsed="false">
      <c r="A10" s="13" t="n">
        <v>6</v>
      </c>
      <c r="B10" s="14" t="s">
        <v>213</v>
      </c>
      <c r="C10" s="14" t="s">
        <v>206</v>
      </c>
      <c r="D10" s="14" t="s">
        <v>214</v>
      </c>
      <c r="E10" s="14" t="s">
        <v>215</v>
      </c>
    </row>
    <row r="11" customFormat="false" ht="124.5" hidden="false" customHeight="true" outlineLevel="0" collapsed="false">
      <c r="A11" s="13" t="n">
        <v>7</v>
      </c>
      <c r="B11" s="14" t="s">
        <v>216</v>
      </c>
      <c r="C11" s="14" t="s">
        <v>217</v>
      </c>
      <c r="D11" s="14" t="s">
        <v>218</v>
      </c>
      <c r="E11" s="14" t="s">
        <v>219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2026-08-26T04:27:12Z</dcterms:created>
  <dc:creator>openpyxl</dc:creator>
  <dc:description/>
  <dc:language>en-US</dc:language>
  <cp:lastModifiedBy/>
  <dcterms:modified xsi:type="dcterms:W3CDTF">2026-08-26T04:43:40Z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