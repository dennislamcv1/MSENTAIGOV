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 Summary" sheetId="1" r:id="rId4"/>
    <sheet state="visible" name="Evaluation Matrix" sheetId="2" r:id="rId5"/>
    <sheet state="visible" name="CVE &amp; Rollback Protocol" sheetId="3" r:id="rId6"/>
  </sheets>
  <definedNames/>
  <calcPr/>
  <extLst>
    <ext uri="GoogleSheetsCustomDataVersion2">
      <go:sheetsCustomData xmlns:go="http://customooxmlschemas.google.com/" r:id="rId7" roundtripDataChecksum="zEuRG289yWUnlGYk9uNkMWVRn9bgNT0EAw2dRhNOv3E="/>
    </ext>
  </extLst>
</workbook>
</file>

<file path=xl/sharedStrings.xml><?xml version="1.0" encoding="utf-8"?>
<sst xmlns="http://schemas.openxmlformats.org/spreadsheetml/2006/main" count="56" uniqueCount="56">
  <si>
    <t>Contoso Health Partners</t>
  </si>
  <si>
    <t>CVE RESPONSE MANAGEMENT: PATCH-VS-RETRAIN DECISION MATRIX</t>
  </si>
  <si>
    <t>Target AI Deployment:</t>
  </si>
  <si>
    <t>Insurance Claims Triage AI (LLM-Based System)</t>
  </si>
  <si>
    <t>Vulnerability Reference:</t>
  </si>
  <si>
    <t>CVE-2026-38291 (High-Severity Base Library Exploit)</t>
  </si>
  <si>
    <t>Evaluation Date:</t>
  </si>
  <si>
    <t>July 3, 2026</t>
  </si>
  <si>
    <t>Governance Authority:</t>
  </si>
  <si>
    <t>AI Governance Lead / SecOps Steering Group</t>
  </si>
  <si>
    <t>FINAL POSTURE VERDICT &amp; RESPONSE PATH</t>
  </si>
  <si>
    <t>Recommended Strategy:</t>
  </si>
  <si>
    <t>HYBRID STRATEGY (Immediate Gateway Patch + Scheduled Model Retraining)</t>
  </si>
  <si>
    <t>Matrix Verification Score:</t>
  </si>
  <si>
    <t>BUSINESS IMPACT ANALYSIS &amp; MITIGATION VALUE STATEMENT</t>
  </si>
  <si>
    <t>Choosing the Hybrid response path optimizes operational continuity while removing structural risk. An immediate runtime/library software patch seals the vulnerability boundary within 24 hours, incurring zero model downtime and maintaining triage routing operations for incoming claims. Full model retraining is scheduled for the regular maintenance sprint to permanently eliminate underlying technical debt without causing emergency operational disruption.</t>
  </si>
  <si>
    <t>EMERGENCY ROLLBACK CONFORMANCE REFERENCE</t>
  </si>
  <si>
    <t>In compliance with secure operations guidelines, a validated fallback procedure has been cross-referenced. Pursuant to Rollback Plan Template (MHP-OPSC-RECOVERY-v1), if the library patch triggers unhandled exceptions or degrades triage classification accuracy below the acceptable 92.5% semantic threshold, automated deployment systems will execute a single-command reversion to the last stable container image within 12 minutes of telemetry failure.</t>
  </si>
  <si>
    <t>TECHNICAL STRATEGY SCORING SYSTEM</t>
  </si>
  <si>
    <t>Scoring Scale: 1 (Highly Unfavorable / Severe Disruption) to 5 (Highly Favorable / Optimal Protection)</t>
  </si>
  <si>
    <t>Evaluation Criterion</t>
  </si>
  <si>
    <t>Weight</t>
  </si>
  <si>
    <t>Strategy 1: Software Patching Only</t>
  </si>
  <si>
    <t>Strategy 2: Model Retraining Only</t>
  </si>
  <si>
    <t>Strategy 3: Hybrid Approach</t>
  </si>
  <si>
    <t>1. Speed to Implement &amp; Time-to-Protection</t>
  </si>
  <si>
    <t>Patching takes &lt;24 hours; full model retraining requires 3-4 weeks of data pipeline prep and compute cycles.</t>
  </si>
  <si>
    <t>2. Operational Disruption &amp; System Downtime</t>
  </si>
  <si>
    <t>Patching is hot-deployed online; retraining requires a complete shadow staging migration and validation swap.</t>
  </si>
  <si>
    <t>3. Cost &amp; Compute Resource Efficiency</t>
  </si>
  <si>
    <t>Patching utilizes nominal engineering overhead; retraining consumes intensive GPU infrastructure cluster costs.</t>
  </si>
  <si>
    <t>4. Risk of Performance / Semantic Regression</t>
  </si>
  <si>
    <t>Software patching leaves the weights untouched; fresh retraining runs risks of unpredictable triage routing changes.</t>
  </si>
  <si>
    <t>5. Long-Term Architectural &amp; Security Robustness</t>
  </si>
  <si>
    <t>Patching might mask a deeper technical flaw; retraining completely cleanses the foundational pipeline.</t>
  </si>
  <si>
    <t>RAW UNWEIGHTED SUM</t>
  </si>
  <si>
    <t>FINAL WEIGHTED STRATEGY SCORE</t>
  </si>
  <si>
    <t>VULNERABILITY TELEMETRY &amp; AUDIT DATA SOURCE</t>
  </si>
  <si>
    <t>Telemetry Field</t>
  </si>
  <si>
    <t>Vulnerability Dossier / Audit Value Logs</t>
  </si>
  <si>
    <t>CVE Identifier</t>
  </si>
  <si>
    <t>CVE-2026-38291</t>
  </si>
  <si>
    <t>CVSS v3.1 Base Score</t>
  </si>
  <si>
    <t>9.1 (Critical Severity Rating)</t>
  </si>
  <si>
    <t>Implicated Component</t>
  </si>
  <si>
    <t>Underlying open-source transformer tokenization dictionary array parser library.</t>
  </si>
  <si>
    <t>Exploit Mechanism</t>
  </si>
  <si>
    <t>Malformed tokenization string arrays feed into a buffer overflow or parameter hijacking state, allowing remote code execution (RCE) via public portal boundaries.</t>
  </si>
  <si>
    <t>Primary Exposed Attack Surface</t>
  </si>
  <si>
    <t>the model API endpoint (Inbound claims ingestion pipeline)</t>
  </si>
  <si>
    <t>Downstream Consequence</t>
  </si>
  <si>
    <t>Adversarial actors could craft custom claims narratives that inject system-level commands, completely bypassing human adjudication queues.</t>
  </si>
  <si>
    <t>Rollback Document Hash Reference</t>
  </si>
  <si>
    <t>SHA-256: 8f3c71b9e29a5d5d023f81e7d23a4b5b7e82a101c43fef8b86d9a1127bc4f210</t>
  </si>
  <si>
    <t>Target Deployment Patch Window</t>
  </si>
  <si>
    <t>Immediate hotfix rollout initiated within the current 24-hour cycle.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</si>
</sst>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i/>
      <sz val="10.0"/>
      <color rgb="FF555555"/>
      <name val="Calibri"/>
    </font>
    <font>
      <b/>
      <sz val="16.0"/>
      <color rgb="FF1B365D"/>
      <name val="Calibri"/>
    </font>
    <font>
      <b/>
      <sz val="11.0"/>
      <color theme="1"/>
      <name val="Calibri"/>
    </font>
    <font>
      <sz val="11.0"/>
      <color theme="1"/>
      <name val="Calibri"/>
    </font>
    <font>
      <b/>
      <sz val="13.0"/>
      <color rgb="FF5C768D"/>
      <name val="Calibri"/>
    </font>
    <font>
      <b/>
      <sz val="11.0"/>
      <color rgb="FF006100"/>
      <name val="Calibri"/>
    </font>
    <font>
      <b/>
      <sz val="11.0"/>
      <color rgb="FFFFFFFF"/>
      <name val="Calibri"/>
    </font>
    <font>
      <b/>
      <sz val="11.0"/>
      <color rgb="FF1B365D"/>
      <name val="Calibri"/>
    </font>
  </fonts>
  <fills count="6">
    <fill>
      <patternFill patternType="none"/>
    </fill>
    <fill>
      <patternFill patternType="lightGray"/>
    </fill>
    <fill>
      <patternFill patternType="solid">
        <fgColor rgb="FFF2F4F7"/>
        <bgColor rgb="FFF2F4F7"/>
      </patternFill>
    </fill>
    <fill>
      <patternFill patternType="solid">
        <fgColor rgb="FFC6EFCE"/>
        <bgColor rgb="FFC6EFCE"/>
      </patternFill>
    </fill>
    <fill>
      <patternFill patternType="solid">
        <fgColor rgb="FF1B365D"/>
        <bgColor rgb="FF1B365D"/>
      </patternFill>
    </fill>
    <fill>
      <patternFill patternType="solid">
        <fgColor rgb="FF5C768D"/>
        <bgColor rgb="FF5C768D"/>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2" fontId="3" numFmtId="0" xfId="0" applyBorder="1" applyFill="1" applyFont="1"/>
    <xf borderId="1" fillId="0" fontId="4" numFmtId="0" xfId="0" applyBorder="1" applyFont="1"/>
    <xf borderId="0" fillId="0" fontId="5" numFmtId="0" xfId="0" applyFont="1"/>
    <xf borderId="1" fillId="0" fontId="3" numFmtId="0" xfId="0" applyBorder="1" applyFont="1"/>
    <xf borderId="1" fillId="3" fontId="6" numFmtId="0" xfId="0" applyBorder="1" applyFill="1" applyFont="1"/>
    <xf borderId="1" fillId="0" fontId="3" numFmtId="2" xfId="0" applyBorder="1" applyFont="1" applyNumberFormat="1"/>
    <xf borderId="0" fillId="0" fontId="4" numFmtId="0" xfId="0" applyAlignment="1" applyFont="1">
      <alignment shrinkToFit="0" vertical="top" wrapText="1"/>
    </xf>
    <xf borderId="0" fillId="0" fontId="1" numFmtId="0" xfId="0" applyFont="1"/>
    <xf borderId="1" fillId="4" fontId="7" numFmtId="0" xfId="0" applyAlignment="1" applyBorder="1" applyFill="1" applyFont="1">
      <alignment horizontal="center" shrinkToFit="0" vertical="center" wrapText="1"/>
    </xf>
    <xf borderId="1" fillId="0" fontId="4" numFmtId="9" xfId="0" applyAlignment="1" applyBorder="1" applyFont="1" applyNumberFormat="1">
      <alignment horizontal="center"/>
    </xf>
    <xf borderId="1" fillId="0" fontId="4" numFmtId="0" xfId="0" applyAlignment="1" applyBorder="1" applyFont="1">
      <alignment horizontal="center"/>
    </xf>
    <xf borderId="1" fillId="0" fontId="1" numFmtId="0" xfId="0" applyAlignment="1" applyBorder="1" applyFont="1">
      <alignment shrinkToFit="0" wrapText="1"/>
    </xf>
    <xf borderId="1" fillId="2" fontId="8" numFmtId="2" xfId="0" applyAlignment="1" applyBorder="1" applyFont="1" applyNumberFormat="1">
      <alignment horizontal="center"/>
    </xf>
    <xf borderId="1" fillId="3" fontId="6" numFmtId="2" xfId="0" applyAlignment="1" applyBorder="1" applyFont="1" applyNumberFormat="1">
      <alignment horizontal="center"/>
    </xf>
    <xf borderId="2" fillId="5" fontId="7" numFmtId="0" xfId="0" applyAlignment="1" applyBorder="1" applyFill="1" applyFont="1">
      <alignment horizontal="center"/>
    </xf>
    <xf borderId="1" fillId="0"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65.0"/>
    <col customWidth="1" min="3" max="26" width="8.71"/>
  </cols>
  <sheetData>
    <row r="1">
      <c r="A1" s="1" t="s">
        <v>0</v>
      </c>
    </row>
    <row r="2">
      <c r="A2" s="2" t="s">
        <v>1</v>
      </c>
    </row>
    <row r="4">
      <c r="A4" s="3" t="s">
        <v>2</v>
      </c>
      <c r="B4" s="4" t="s">
        <v>3</v>
      </c>
    </row>
    <row r="5">
      <c r="A5" s="3" t="s">
        <v>4</v>
      </c>
      <c r="B5" s="4" t="s">
        <v>5</v>
      </c>
    </row>
    <row r="6">
      <c r="A6" s="3" t="s">
        <v>6</v>
      </c>
      <c r="B6" s="4" t="s">
        <v>7</v>
      </c>
    </row>
    <row r="7">
      <c r="A7" s="3" t="s">
        <v>8</v>
      </c>
      <c r="B7" s="4" t="s">
        <v>9</v>
      </c>
    </row>
    <row r="9">
      <c r="A9" s="5" t="s">
        <v>10</v>
      </c>
    </row>
    <row r="10">
      <c r="A10" s="6" t="s">
        <v>11</v>
      </c>
      <c r="B10" s="7" t="s">
        <v>12</v>
      </c>
    </row>
    <row r="11">
      <c r="A11" s="6" t="s">
        <v>13</v>
      </c>
      <c r="B11" s="8">
        <f>'Evaluation Matrix'!D12</f>
        <v>2.3</v>
      </c>
    </row>
    <row r="13">
      <c r="A13" s="5" t="s">
        <v>14</v>
      </c>
    </row>
    <row r="14">
      <c r="A14" s="9" t="s">
        <v>15</v>
      </c>
    </row>
    <row r="18">
      <c r="A18" s="5" t="s">
        <v>16</v>
      </c>
    </row>
    <row r="19">
      <c r="A19" s="9"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4:F16"/>
    <mergeCell ref="A19:F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10.0"/>
    <col customWidth="1" min="3" max="5" width="24.0"/>
    <col customWidth="1" min="6" max="6" width="50.0"/>
    <col customWidth="1" min="7" max="26" width="8.71"/>
  </cols>
  <sheetData>
    <row r="1">
      <c r="A1" s="2" t="s">
        <v>18</v>
      </c>
    </row>
    <row r="2">
      <c r="A2" s="10" t="s">
        <v>19</v>
      </c>
    </row>
    <row r="4">
      <c r="A4" s="11" t="s">
        <v>20</v>
      </c>
      <c r="B4" s="11" t="s">
        <v>21</v>
      </c>
      <c r="C4" s="11" t="s">
        <v>22</v>
      </c>
      <c r="D4" s="11" t="s">
        <v>23</v>
      </c>
      <c r="E4" s="11" t="s">
        <v>24</v>
      </c>
      <c r="F4" s="4"/>
    </row>
    <row r="5">
      <c r="A5" s="6" t="s">
        <v>25</v>
      </c>
      <c r="B5" s="12">
        <v>0.3</v>
      </c>
      <c r="C5" s="13">
        <v>5.0</v>
      </c>
      <c r="D5" s="13">
        <v>1.0</v>
      </c>
      <c r="E5" s="13">
        <v>4.0</v>
      </c>
      <c r="F5" s="14" t="s">
        <v>26</v>
      </c>
    </row>
    <row r="6">
      <c r="A6" s="6" t="s">
        <v>27</v>
      </c>
      <c r="B6" s="12">
        <v>0.2</v>
      </c>
      <c r="C6" s="13">
        <v>5.0</v>
      </c>
      <c r="D6" s="13">
        <v>2.0</v>
      </c>
      <c r="E6" s="13">
        <v>4.0</v>
      </c>
      <c r="F6" s="14" t="s">
        <v>28</v>
      </c>
    </row>
    <row r="7">
      <c r="A7" s="6" t="s">
        <v>29</v>
      </c>
      <c r="B7" s="12">
        <v>0.15</v>
      </c>
      <c r="C7" s="13">
        <v>5.0</v>
      </c>
      <c r="D7" s="13">
        <v>2.0</v>
      </c>
      <c r="E7" s="13">
        <v>3.0</v>
      </c>
      <c r="F7" s="14" t="s">
        <v>30</v>
      </c>
    </row>
    <row r="8">
      <c r="A8" s="6" t="s">
        <v>31</v>
      </c>
      <c r="B8" s="12">
        <v>0.15</v>
      </c>
      <c r="C8" s="13">
        <v>4.0</v>
      </c>
      <c r="D8" s="13">
        <v>2.0</v>
      </c>
      <c r="E8" s="13">
        <v>4.0</v>
      </c>
      <c r="F8" s="14" t="s">
        <v>32</v>
      </c>
    </row>
    <row r="9">
      <c r="A9" s="6" t="s">
        <v>33</v>
      </c>
      <c r="B9" s="12">
        <v>0.2</v>
      </c>
      <c r="C9" s="13">
        <v>2.0</v>
      </c>
      <c r="D9" s="13">
        <v>5.0</v>
      </c>
      <c r="E9" s="13">
        <v>5.0</v>
      </c>
      <c r="F9" s="14" t="s">
        <v>34</v>
      </c>
    </row>
    <row r="10">
      <c r="A10" s="4"/>
      <c r="B10" s="4"/>
      <c r="C10" s="4"/>
      <c r="D10" s="4"/>
      <c r="E10" s="4"/>
      <c r="F10" s="4"/>
    </row>
    <row r="11">
      <c r="A11" s="6" t="s">
        <v>35</v>
      </c>
      <c r="B11" s="4"/>
      <c r="C11" s="6">
        <f t="shared" ref="C11:E11" si="1">SUM(C5:C9)</f>
        <v>21</v>
      </c>
      <c r="D11" s="6">
        <f t="shared" si="1"/>
        <v>12</v>
      </c>
      <c r="E11" s="6">
        <f t="shared" si="1"/>
        <v>20</v>
      </c>
      <c r="F11" s="4"/>
    </row>
    <row r="12">
      <c r="A12" s="3" t="s">
        <v>36</v>
      </c>
      <c r="B12" s="4"/>
      <c r="C12" s="15">
        <f t="shared" ref="C12:E12" si="2">SUMPRODUCT($B$5:$B$9,C5:C9)</f>
        <v>4.25</v>
      </c>
      <c r="D12" s="15">
        <f t="shared" si="2"/>
        <v>2.3</v>
      </c>
      <c r="E12" s="16">
        <f t="shared" si="2"/>
        <v>4.05</v>
      </c>
      <c r="F12"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72.0"/>
    <col customWidth="1" min="3" max="26" width="8.71"/>
  </cols>
  <sheetData>
    <row r="1">
      <c r="A1" s="2" t="s">
        <v>37</v>
      </c>
    </row>
    <row r="3">
      <c r="A3" s="17" t="s">
        <v>38</v>
      </c>
      <c r="B3" s="17" t="s">
        <v>39</v>
      </c>
    </row>
    <row r="4">
      <c r="A4" s="6" t="s">
        <v>40</v>
      </c>
      <c r="B4" s="18" t="s">
        <v>41</v>
      </c>
    </row>
    <row r="5">
      <c r="A5" s="6" t="s">
        <v>42</v>
      </c>
      <c r="B5" s="18" t="s">
        <v>43</v>
      </c>
    </row>
    <row r="6">
      <c r="A6" s="6" t="s">
        <v>44</v>
      </c>
      <c r="B6" s="18" t="s">
        <v>45</v>
      </c>
    </row>
    <row r="7">
      <c r="A7" s="6" t="s">
        <v>46</v>
      </c>
      <c r="B7" s="18" t="s">
        <v>47</v>
      </c>
    </row>
    <row r="8">
      <c r="A8" s="6" t="s">
        <v>48</v>
      </c>
      <c r="B8" s="18" t="s">
        <v>49</v>
      </c>
    </row>
    <row r="9">
      <c r="A9" s="6" t="s">
        <v>50</v>
      </c>
      <c r="B9" s="18" t="s">
        <v>51</v>
      </c>
    </row>
    <row r="10">
      <c r="A10" s="6" t="s">
        <v>52</v>
      </c>
      <c r="B10" s="18" t="s">
        <v>53</v>
      </c>
    </row>
    <row r="11">
      <c r="A11" s="6" t="s">
        <v>54</v>
      </c>
      <c r="B11" s="18"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2026-07-03T14:28:46Z</dcterms:created>
  <dc:creator>openpyxl</dc:creator>
</cp:coreProperties>
</file>