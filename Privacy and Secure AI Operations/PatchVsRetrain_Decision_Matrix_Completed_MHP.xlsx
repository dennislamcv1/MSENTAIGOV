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ision Summary" sheetId="1" state="visible" r:id="rId3"/>
    <sheet name="Evaluation Matrix" sheetId="2" state="visible" r:id="rId4"/>
    <sheet name="Mandatory Gate Test" sheetId="3" state="visible" r:id="rId5"/>
    <sheet name="Business Impac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<sst xmlns="http://schemas.openxmlformats.org/spreadsheetml/2006/main" count="143" uniqueCount="130">
  <si>
    <t xml:space="preserve">CVE RESPONSE MANAGEMENT — PATCH-VS-RETRAIN DECISION</t>
  </si>
  <si>
    <t xml:space="preserve">Meridian Health Partners Ltd.  |  Insurance Claims Triage AI (ClaimsTriage) v2.4  |  Evaluated 3 July 2026  |  Ref: MHP-AI-GOV-2026-PKG01-CVE</t>
  </si>
  <si>
    <t xml:space="preserve">Target AI Deployment</t>
  </si>
  <si>
    <t xml:space="preserve">Insurance Claims Triage AI (ClaimsTriage) v2.4 — LLM-based, sole pre-authorization screening layer, no parallel fallback</t>
  </si>
  <si>
    <t xml:space="preserve">Vulnerability Reference</t>
  </si>
  <si>
    <t xml:space="preserve">CVE-2025-XXXX — NeuralCore Library v3.1.x to v3.4.x, improper input validation in the gradient descent optimizer. CVSS v3.1 base score 8.6 (High). Scope: Changed / Network. Attack complexity High, privileges required None.</t>
  </si>
  <si>
    <t xml:space="preserve">Exposure Class</t>
  </si>
  <si>
    <t xml:space="preserve">TRAINING-TIME. No effect on inference-time behaviour in models trained without exploitation.</t>
  </si>
  <si>
    <t xml:space="preserve">Governance Authority</t>
  </si>
  <si>
    <t xml:space="preserve">AI Governance Lead / SecOps Steering Group</t>
  </si>
  <si>
    <t xml:space="preserve">Evaluation Date</t>
  </si>
  <si>
    <t xml:space="preserve">3 July 2026</t>
  </si>
  <si>
    <t xml:space="preserve">RECOMMENDED STRATEGY</t>
  </si>
  <si>
    <t xml:space="preserve">STRATEGY 3 — HYBRID: immediate environment patch to NeuralCore v3.5.0 as a compensating control, plus full model retrain on clean verified data.</t>
  </si>
  <si>
    <t xml:space="preserve">Weighted Score of Recommendation</t>
  </si>
  <si>
    <t xml:space="preserve">3.90 — the highest of the three strategies. Strategy 1 scores 2.85 and Strategy 2 scores 2.60.</t>
  </si>
  <si>
    <t xml:space="preserve">Gate Test Result</t>
  </si>
  <si>
    <t xml:space="preserve">Strategy 1 fails two mandatory gates and is excluded regardless of score. Strategies 2 and 3 pass all five.</t>
  </si>
  <si>
    <t xml:space="preserve">Why Not Patch Alone</t>
  </si>
  <si>
    <t xml:space="preserve">Patching the inference environment closes no training-time exposure that has already occurred. The scenario package states this directly. Patch-only would leave a model that cannot be demonstrated free of an attacker-controlled backdoor running as the sole screening layer for 4.2 million claims a day, indefinitely.</t>
  </si>
  <si>
    <t xml:space="preserve">Why Not Retrain Alone</t>
  </si>
  <si>
    <t xml:space="preserve">Retraining takes 3 to 4 weeks. Retrain-only leaves the affected library in the build environment throughout, so any interim training run reintroduces the same exposure. The patch is cheap, immediate, and closes forward risk while the retrain closes the existing one.</t>
  </si>
  <si>
    <t xml:space="preserve">Why Not Immediate Rollback</t>
  </si>
  <si>
    <t xml:space="preserve">Rollback is the contingency, not the response. v2.3 operates at 90.4% TPR against a 91.0% contractual floor — an immediate breach — and generates 159,600 additional claims per day for manual review (4,200,000 x 3.8%). Over a 21-day retrain window that is 3.35 million backlogged claims, which exceeds manual capacity by a wide margin. Rollback remains available on trigger; see Rollback Plan MHP-OPSC-RECOVERY-v2.</t>
  </si>
  <si>
    <t xml:space="preserve">THE RISK ACCEPTANCE THIS DECISION REQUIRES</t>
  </si>
  <si>
    <t xml:space="preserve">What is being accepted</t>
  </si>
  <si>
    <t xml:space="preserve">For the 3 to 4 week retrain window, Meridian continues to operate a production model it cannot demonstrate is free of an attacker-controlled backdoor, as the sole screening layer, with no parallel fallback. At 4.2 million claims a day this is 88 to 118 million claims, carrying 7.7 to 10.2 billion dollars of transaction value, processed by an unverifiable classifier.</t>
  </si>
  <si>
    <t xml:space="preserve">Why it is accepted</t>
  </si>
  <si>
    <t xml:space="preserve">The alternative — immediate rollback — guarantees a contractual SLA breach on day one and a manual backlog that exceeds capacity. The exposure is unproven and probabilistic; the rollback harm is certain and immediate. The decision is defensible, but only if stated as a deliberate acceptance with compensating controls and a named owner, rather than presented as a cost-free path.</t>
  </si>
  <si>
    <t xml:space="preserve">Accepting Owner</t>
  </si>
  <si>
    <t xml:space="preserve">Director of AI Production Infrastructure Operations, countersigned by the AI Governance Lead and the Chief Information Security Officer.</t>
  </si>
  <si>
    <t xml:space="preserve">Review Point</t>
  </si>
  <si>
    <t xml:space="preserve">Weekly during the retrain window, and immediately on any shadow-comparator divergence alert.</t>
  </si>
  <si>
    <t xml:space="preserve">COMPENSATING CONTROLS DURING THE RETRAIN WINDOW</t>
  </si>
  <si>
    <t xml:space="preserve">CORRECTION to the inherited control</t>
  </si>
  <si>
    <t xml:space="preserve">The scenario package specifies that 'input layer filters will block all claimant submissions containing structural text variants associated with known backdoor triggers'. This control is not implementable as written. CVE-2025-XXXX produces misclassification of inputs matching a SPECIFIC ATTACKER-CONTROLLED PATTERN. If the corpus was poisoned, that pattern was chosen by the attacker and is unknown to us; the advisory publishes no indicators of compromise. A filter cannot block what cannot be enumerated. Recorded as a defect in the inherited mitigation rather than carried forward as though it worked.</t>
  </si>
  <si>
    <t xml:space="preserve">CC-1: Shadow comparator (primary)</t>
  </si>
  <si>
    <t xml:space="preserve">Run ClaimsTriage v2.3 in shadow against live traffic, scoring every claim without routing on it. v2.3 was compiled on NeuralCore v2.9.1, outside the affected version range, so it is clean of this vulnerability. A backdoor manifests as anomalous divergence on inputs sharing a hidden feature. Alert on any statistically significant divergence in gravity classification between v2.4 and v2.3 on the same claim. This detects what cannot be filtered, and uses an asset the deployment already holds.</t>
  </si>
  <si>
    <t xml:space="preserve">CC-2: Output distribution monitoring</t>
  </si>
  <si>
    <t xml:space="preserve">Monitor the distribution of gravity scores and queue assignments against the 90-day pre-incident baseline. A backdoor that routes attacker-pattern claims to automated approval shows as an unexplained shift in the automated-approval share, even when the trigger itself is unknown.</t>
  </si>
  <si>
    <t xml:space="preserve">CC-3: Enhanced human review sampling</t>
  </si>
  <si>
    <t xml:space="preserve">Raise the sampling rate of automated-approval routings sent for human confirmation during the window, weighted toward high-value claims. This converts an undetectable classifier defect into a detectable review-disagreement signal.</t>
  </si>
  <si>
    <t xml:space="preserve">CC-4: Forward exposure closure</t>
  </si>
  <si>
    <t xml:space="preserve">Patch the build environment to NeuralCore v3.5.0 within the 4-hour engineering window. Freeze all training runs on the affected library. Implement cryptographic ingestion hashing (control C3.1) before the retrain corpus is assembled, so the replacement model can be demonstrated clean in a way v2.4 cannot.</t>
  </si>
  <si>
    <t xml:space="preserve">TECHNICAL STRATEGY SCORING — CVE-2025-XXXX</t>
  </si>
  <si>
    <t xml:space="preserve">Rescored for a TRAINING-TIME exposure. The supplied matrix was calibrated for an inference-time vulnerability, where patching delivers immediate protection. Here it delivers none.</t>
  </si>
  <si>
    <t xml:space="preserve">Scoring scale: 1 (highly unfavourable / severe disruption) to 5 (highly favourable / optimal protection). Weights sum to 1.00.</t>
  </si>
  <si>
    <t xml:space="preserve">Evaluation Criterion</t>
  </si>
  <si>
    <t xml:space="preserve">Weight</t>
  </si>
  <si>
    <t xml:space="preserve">S1: Environment Patch Only</t>
  </si>
  <si>
    <t xml:space="preserve">S2: Full Retrain Only</t>
  </si>
  <si>
    <t xml:space="preserve">S3: Hybrid (Patch + Retrain)</t>
  </si>
  <si>
    <t xml:space="preserve">Scoring Rationale for a Training-Time Exposure</t>
  </si>
  <si>
    <t xml:space="preserve">1. Speed to Implement &amp; Time-to-Protection</t>
  </si>
  <si>
    <t xml:space="preserve">THE DECISIVE CHANGE. The supplied matrix scored patch-only 5.0 here. For a training-time vulnerability that has already executed, patching the inference environment closes NO exposure — the scenario package states this plainly. Time-to-protection for patch-only is not 24 hours; it is never. Scored 1.0. Retrain-only reaches full protection but not for 3-4 weeks (2.0). Hybrid closes forward risk within 24 hours while the retrain closes the existing exposure, with compensating controls covering the interval (4.0).</t>
  </si>
  <si>
    <t xml:space="preserve">2. Operational Disruption &amp; System Downtime</t>
  </si>
  <si>
    <t xml:space="preserve">Patching is hot-deployed with no model downtime (5.0). Retrain-only requires shadow staging migration and a validation swap (2.0). Hybrid hot-deploys the patch and runs the retrain in shadow, swapping once validated (4.0).</t>
  </si>
  <si>
    <t xml:space="preserve">3. Cost &amp; Compute Resource Efficiency</t>
  </si>
  <si>
    <t xml:space="preserve">Patching is nominal engineering overhead (5.0). Retraining consumes intensive GPU cluster capacity (2.0). Hybrid carries both costs but avoids a second emergency cycle later (3.0).</t>
  </si>
  <si>
    <t xml:space="preserve">4. Risk of Performance / Semantic Regression</t>
  </si>
  <si>
    <t xml:space="preserve">Patching leaves weights untouched, so no regression (4.0) — though untouched weights are precisely the defect here, which criterion 5 captures. A fresh retrain risks unpredictable routing changes against a 91.0% floor with 3.2 points of headroom (2.0). Hybrid carries the same retrain risk mitigated by shadow validation against the v2.4 baseline before swap (3.0). The supplied matrix scored hybrid 4.0 on this; hybrid includes the retrain and cannot outperform it on regression risk.</t>
  </si>
  <si>
    <t xml:space="preserve">5. Long-Term Architectural &amp; Security Robustness</t>
  </si>
  <si>
    <t xml:space="preserve">Downgraded from the supplied 2.0. Patch-only does not merely 'mask a deeper flaw' — it leaves a model that cannot be demonstrated free of an attacker-controlled backdoor running in production indefinitely, as the sole screening layer, with no fallback. Retraining on clean verified data is the only path that resolves the exposure (5.0 for both S2 and S3).</t>
  </si>
  <si>
    <t xml:space="preserve">WEIGHT TOTAL (must equal 1.00)</t>
  </si>
  <si>
    <t xml:space="preserve">RAW UNWEIGHTED SUM</t>
  </si>
  <si>
    <t xml:space="preserve">FINAL WEIGHTED STRATEGY SCORE</t>
  </si>
  <si>
    <t xml:space="preserve">HIGHEST WEIGHTED SCORE</t>
  </si>
  <si>
    <t xml:space="preserve">A CAUTION ON WEIGHTED SCORING. Note that S1 outscores S2 on the weighted total, despite delivering no protection whatever against the exposure. That is an artefact of weighting: speed, disruption and cost together carry 0.65, so a strategy that is fast, cheap and non-disruptive ranks well even when it achieves nothing. The matrix is a decision aid, not the decision. This is why the Mandatory Gate Test sheet exists — a strategy that fails a knockout criterion is excluded regardless of where it ranks.</t>
  </si>
  <si>
    <t xml:space="preserve">MANDATORY GATE TEST — KNOCKOUT CRITERIA</t>
  </si>
  <si>
    <t xml:space="preserve">Applied before the weighted score is read. A strategy failing any gate is excluded whatever it scores. Added to the supplied matrix, which had no knockout logic.</t>
  </si>
  <si>
    <t xml:space="preserve">Gate</t>
  </si>
  <si>
    <t xml:space="preserve">Question</t>
  </si>
  <si>
    <t xml:space="preserve">S1: Patch Only</t>
  </si>
  <si>
    <t xml:space="preserve">S2: Retrain Only</t>
  </si>
  <si>
    <t xml:space="preserve">S3: Hybrid</t>
  </si>
  <si>
    <t xml:space="preserve">Basis</t>
  </si>
  <si>
    <t xml:space="preserve">G1</t>
  </si>
  <si>
    <t xml:space="preserve">Does the strategy remove the training-time exposure that has ALREADY occurred?</t>
  </si>
  <si>
    <t xml:space="preserve">FAIL</t>
  </si>
  <si>
    <t xml:space="preserve">PASS</t>
  </si>
  <si>
    <t xml:space="preserve">CVE-2025-XXXX affects the gradient descent optimizer during training. The advisory states the vulnerability 'has no effect on inference-time behavior in models that were trained without exploitation' — the corollary being that a model trained WITH exploitation carries the defect in its weights. No environment patch reaches weights already written.</t>
  </si>
  <si>
    <t xml:space="preserve">G2</t>
  </si>
  <si>
    <t xml:space="preserve">Can the organisation demonstrate to a regulator that the production model is free of an attacker-controlled backdoor?</t>
  </si>
  <si>
    <t xml:space="preserve">Training data was ingested from an external vendor over a network connection across a 72-hour window with no cryptographic integrity verification (control C3.1, Non-Compliant). Absent hash evidence, the negative cannot be proven. Only retraining on verified clean data restores a demonstrable position.</t>
  </si>
  <si>
    <t xml:space="preserve">G3</t>
  </si>
  <si>
    <t xml:space="preserve">Does the strategy avoid an immediate contractual SLA breach?</t>
  </si>
  <si>
    <t xml:space="preserve">All three maintain v2.4 in production during remediation. Only an immediate rollback to v2.3 breaches the 91.0% floor, and rollback is not one of the three strategies — it is the contingency, not the response.</t>
  </si>
  <si>
    <t xml:space="preserve">G4</t>
  </si>
  <si>
    <t xml:space="preserve">Does the strategy close the exposure to FUTURE training runs on the affected library?</t>
  </si>
  <si>
    <t xml:space="preserve">S1 and S3 patch the library to v3.5.0. S2 retrains on a patched cluster by definition. All three close forward exposure.</t>
  </si>
  <si>
    <t xml:space="preserve">G5</t>
  </si>
  <si>
    <t xml:space="preserve">Is a validated rollback contingency in place for the remediation window?</t>
  </si>
  <si>
    <t xml:space="preserve">Rollback Plan MHP-OPSC-RECOVERY-v2 confirms a 45-minute reversion to ClaimsTriage v2.3 on NeuralCore v2.9.1, outside the affected version range. See that document for triggers and residual exposure.</t>
  </si>
  <si>
    <t xml:space="preserve">GATES FAILED</t>
  </si>
  <si>
    <t xml:space="preserve">S1 fails two gates and is excluded. S2 and S3 both pass. The weighted score then separates the two survivors, and S3 wins on time-to-protection and operational disruption — it delivers the same end state as S2 while covering the 3-4 week interval that S2 leaves exposed.</t>
  </si>
  <si>
    <t xml:space="preserve">BUSINESS IMPACT MODELLING</t>
  </si>
  <si>
    <t xml:space="preserve">All figures derive from the scenario package baselines. Blue cells are stated inputs; every other figure is calculated from them.</t>
  </si>
  <si>
    <t xml:space="preserve">STATED BASELINES  (source: scenario package §1.2, §6.4, §7)</t>
  </si>
  <si>
    <t xml:space="preserve">Daily ingestion volume (claims/day)</t>
  </si>
  <si>
    <t xml:space="preserve">Average claim transaction value (USD)</t>
  </si>
  <si>
    <t xml:space="preserve">Baseline leakage / fraud rate</t>
  </si>
  <si>
    <t xml:space="preserve">v2.4 True Positive Rate (in production)</t>
  </si>
  <si>
    <t xml:space="preserve">v2.3 True Positive Rate (rollback target)</t>
  </si>
  <si>
    <t xml:space="preserve">Contractual SLA floor (TPR)</t>
  </si>
  <si>
    <t xml:space="preserve">Retrain duration — low estimate (days)</t>
  </si>
  <si>
    <t xml:space="preserve">Retrain duration — high estimate (days)</t>
  </si>
  <si>
    <t xml:space="preserve">Rollback execution time (minutes)</t>
  </si>
  <si>
    <t xml:space="preserve">CALCULATED EXPOSURE — HYBRID PATH (recommended)</t>
  </si>
  <si>
    <t xml:space="preserve">Daily transaction value processed</t>
  </si>
  <si>
    <t xml:space="preserve">4,200,000 claims x $87 — the value flowing through the classifier every day.</t>
  </si>
  <si>
    <t xml:space="preserve">Baseline daily leakage at 0.042%</t>
  </si>
  <si>
    <t xml:space="preserve">The loss the deployment already absorbs under normal conditions. Any backdoor cost is measured against this baseline, not against zero.</t>
  </si>
  <si>
    <t xml:space="preserve">Claims processed during retrain — 21 days</t>
  </si>
  <si>
    <t xml:space="preserve">Full volume continues throughout; there is no reduced-capacity mode.</t>
  </si>
  <si>
    <t xml:space="preserve">Claims processed during retrain — 28 days</t>
  </si>
  <si>
    <t xml:space="preserve">Transaction value at risk — 21 days</t>
  </si>
  <si>
    <t xml:space="preserve">EXPOSURE SCOPE, NOT A LOSS ESTIMATE. This is the value processed by a model that cannot be demonstrated free of a backdoor. No loss is asserted and none may be inferred — the exposure is unproven. The figure states what is riding on the acceptance.</t>
  </si>
  <si>
    <t xml:space="preserve">Transaction value at risk — 28 days</t>
  </si>
  <si>
    <t xml:space="preserve">CALCULATED IMPACT — IMMEDIATE ROLLBACK (rejected as primary path)</t>
  </si>
  <si>
    <t xml:space="preserve">TPR shortfall vs production (percentage points)</t>
  </si>
  <si>
    <t xml:space="preserve">v2.4 minus v2.3. Matches the 3.8% figure in the scenario package.</t>
  </si>
  <si>
    <t xml:space="preserve">SLA breach margin (v2.3 TPR minus contractual floor)</t>
  </si>
  <si>
    <t xml:space="preserve">Negative. Rollback breaches the 91.0% floor on execution, triggering contractual notification.</t>
  </si>
  <si>
    <t xml:space="preserve">Additional manual review claims per day</t>
  </si>
  <si>
    <t xml:space="preserve">4,200,000 x 3.8%. Matches the 159,600 figure in the scenario package.</t>
  </si>
  <si>
    <t xml:space="preserve">Backlog accumulated over a 21-day retrain window</t>
  </si>
  <si>
    <t xml:space="preserve">THE REASON ROLLBACK CANNOT BE THE PRIMARY PATH. This exceeds manual review capacity by a wide margin and compounds daily.</t>
  </si>
  <si>
    <t xml:space="preserve">Backlog accumulated over a 28-day retrain window</t>
  </si>
  <si>
    <t xml:space="preserve">Reading these two blocks together is the decision. The hybrid path carries a large but UNPROVEN and PROBABILISTIC exposure. The rollback path carries a smaller but CERTAIN and IMMEDIATE harm: an SLA breach on day one and a backlog that exceeds capacity within a week. Choosing the hybrid path is choosing probabilistic exposure over certain harm — a defensible trade, provided it is recorded as a deliberate acceptance with compensating controls and a named owner, and not presented as though the hybrid path were cost-free.</t>
  </si>
  <si>
    <t xml:space="preserve">Note on the 4-hour figure. The scenario package refers to a '4-hour engineering patch window' and the supplied report template describes an 'accelerated 4-hour retraining pipeline'. These are not the same thing. Four hours is the LIBRARY PATCH window. Retraining takes 3 to 4 weeks per the evaluation matrix. The template's phrasing would tell an auditor the model is clean by the end of the working day; it will not be.</t>
  </si>
</sst>
</file>

<file path=xl/styles.xml><?xml version="1.0" encoding="utf-8"?>
<styleSheet xmlns="http://schemas.openxmlformats.org/spreadsheetml/2006/main">
  <numFmts count="7">
    <numFmt numFmtId="164" formatCode="General"/>
    <numFmt numFmtId="165" formatCode="0.00"/>
    <numFmt numFmtId="166" formatCode="General"/>
    <numFmt numFmtId="167" formatCode="#,##0"/>
    <numFmt numFmtId="168" formatCode="\$#,##0"/>
    <numFmt numFmtId="169" formatCode="0.000%"/>
    <numFmt numFmtId="170" formatCode="0.0%"/>
  </numFmts>
  <fonts count="2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1F3864"/>
      <name val="Arial"/>
      <family val="0"/>
      <charset val="1"/>
    </font>
    <font>
      <sz val="9"/>
      <name val="Arial"/>
      <family val="0"/>
      <charset val="1"/>
    </font>
    <font>
      <b val="true"/>
      <sz val="11"/>
      <color rgb="FFFFFFFF"/>
      <name val="Arial"/>
      <family val="0"/>
      <charset val="1"/>
    </font>
    <font>
      <b val="true"/>
      <sz val="11"/>
      <color rgb="FF1F6B3B"/>
      <name val="Arial"/>
      <family val="0"/>
      <charset val="1"/>
    </font>
    <font>
      <b val="true"/>
      <sz val="11"/>
      <color rgb="FFC00000"/>
      <name val="Arial"/>
      <family val="0"/>
      <charset val="1"/>
    </font>
    <font>
      <b val="true"/>
      <sz val="11"/>
      <color rgb="FF833C00"/>
      <name val="Arial"/>
      <family val="0"/>
      <charset val="1"/>
    </font>
    <font>
      <i val="true"/>
      <sz val="8"/>
      <color rgb="FF833C00"/>
      <name val="Arial"/>
      <family val="0"/>
      <charset val="1"/>
    </font>
    <font>
      <b val="true"/>
      <sz val="9"/>
      <color rgb="FFFFFFFF"/>
      <name val="Arial"/>
      <family val="0"/>
      <charset val="1"/>
    </font>
    <font>
      <sz val="8"/>
      <name val="Arial"/>
      <family val="0"/>
      <charset val="1"/>
    </font>
    <font>
      <b val="true"/>
      <sz val="10"/>
      <name val="Arial"/>
      <family val="0"/>
      <charset val="1"/>
    </font>
    <font>
      <b val="true"/>
      <sz val="9"/>
      <name val="Arial"/>
      <family val="0"/>
      <charset val="1"/>
    </font>
    <font>
      <b val="true"/>
      <sz val="10"/>
      <color rgb="FF1F3864"/>
      <name val="Arial"/>
      <family val="0"/>
      <charset val="1"/>
    </font>
    <font>
      <b val="true"/>
      <sz val="12"/>
      <color rgb="FFC00000"/>
      <name val="Arial"/>
      <family val="0"/>
      <charset val="1"/>
    </font>
    <font>
      <b val="true"/>
      <sz val="12"/>
      <color rgb="FF1F6B3B"/>
      <name val="Arial"/>
      <family val="0"/>
      <charset val="1"/>
    </font>
    <font>
      <i val="true"/>
      <sz val="9"/>
      <color rgb="FF833C00"/>
      <name val="Arial"/>
      <family val="0"/>
      <charset val="1"/>
    </font>
    <font>
      <b val="true"/>
      <sz val="10"/>
      <color rgb="FFC00000"/>
      <name val="Arial"/>
      <family val="0"/>
      <charset val="1"/>
    </font>
    <font>
      <b val="true"/>
      <sz val="10"/>
      <color rgb="FF1F6B3B"/>
      <name val="Arial"/>
      <family val="0"/>
      <charset val="1"/>
    </font>
    <font>
      <b val="true"/>
      <sz val="10"/>
      <color rgb="FF0000FF"/>
      <name val="Arial"/>
      <family val="0"/>
      <charset val="1"/>
    </font>
    <font>
      <i val="true"/>
      <sz val="8"/>
      <color rgb="FF595959"/>
      <name val="Arial"/>
      <family val="0"/>
      <charset val="1"/>
    </font>
    <font>
      <i val="true"/>
      <sz val="9"/>
      <color rgb="FFC00000"/>
      <name val="Arial"/>
      <family val="0"/>
      <charset val="1"/>
    </font>
  </fonts>
  <fills count="8">
    <fill>
      <patternFill patternType="none"/>
    </fill>
    <fill>
      <patternFill patternType="gray125"/>
    </fill>
    <fill>
      <patternFill patternType="solid">
        <fgColor rgb="FFD9E2F3"/>
        <bgColor rgb="FFE2EFDA"/>
      </patternFill>
    </fill>
    <fill>
      <patternFill patternType="solid">
        <fgColor rgb="FF1F6B3B"/>
        <bgColor rgb="FF008080"/>
      </patternFill>
    </fill>
    <fill>
      <patternFill patternType="solid">
        <fgColor rgb="FFE2EFDA"/>
        <bgColor rgb="FFD9E2F3"/>
      </patternFill>
    </fill>
    <fill>
      <patternFill patternType="solid">
        <fgColor rgb="FFFBE4E4"/>
        <bgColor rgb="FFFFF2CC"/>
      </patternFill>
    </fill>
    <fill>
      <patternFill patternType="solid">
        <fgColor rgb="FFFFF2CC"/>
        <bgColor rgb="FFFBE4E4"/>
      </patternFill>
    </fill>
    <fill>
      <patternFill patternType="solid">
        <fgColor rgb="FF2E5496"/>
        <bgColor rgb="FF1F3864"/>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1" fillId="6" borderId="0"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center" vertical="bottom" textRotation="0" wrapText="false" indent="0" shrinkToFit="false"/>
      <protection locked="true" hidden="false"/>
    </xf>
    <xf numFmtId="166" fontId="15" fillId="0"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8" fillId="2" borderId="1" xfId="0" applyFont="true" applyBorder="true" applyAlignment="true" applyProtection="false">
      <alignment horizontal="center" vertical="bottom" textRotation="0" wrapText="false" indent="0" shrinkToFit="false"/>
      <protection locked="true" hidden="false"/>
    </xf>
    <xf numFmtId="165" fontId="18" fillId="4" borderId="1" xfId="0" applyFont="true" applyBorder="true" applyAlignment="true" applyProtection="false">
      <alignment horizontal="center" vertical="bottom" textRotation="0" wrapText="false" indent="0"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6" fontId="18"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center" vertical="bottom" textRotation="0" wrapText="false" indent="0" shrinkToFit="false"/>
      <protection locked="true" hidden="false"/>
    </xf>
    <xf numFmtId="168" fontId="23" fillId="0" borderId="1"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70" fontId="23" fillId="0" borderId="1" xfId="0" applyFont="true" applyBorder="true" applyAlignment="true" applyProtection="false">
      <alignment horizontal="center" vertical="bottom" textRotation="0" wrapText="false" indent="0" shrinkToFit="false"/>
      <protection locked="true" hidden="false"/>
    </xf>
    <xf numFmtId="168" fontId="15"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7" fontId="15" fillId="0"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0" fontId="21" fillId="5" borderId="1" xfId="0" applyFont="true" applyBorder="true" applyAlignment="true" applyProtection="false">
      <alignment horizontal="center" vertical="bottom" textRotation="0" wrapText="false" indent="0" shrinkToFit="false"/>
      <protection locked="true" hidden="false"/>
    </xf>
    <xf numFmtId="167" fontId="21" fillId="5" borderId="1"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6B3B"/>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833C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8"/>
  </cols>
  <sheetData>
    <row r="1" customFormat="false" ht="17.35" hidden="false" customHeight="false" outlineLevel="0" collapsed="false">
      <c r="A1" s="1" t="s">
        <v>0</v>
      </c>
    </row>
    <row r="2" customFormat="false" ht="25.5" hidden="false" customHeight="true" outlineLevel="0" collapsed="false">
      <c r="A2" s="2" t="s">
        <v>1</v>
      </c>
    </row>
    <row r="4" customFormat="false" ht="27.75" hidden="false" customHeight="true" outlineLevel="0" collapsed="false">
      <c r="A4" s="3" t="s">
        <v>2</v>
      </c>
      <c r="B4" s="4" t="s">
        <v>3</v>
      </c>
    </row>
    <row r="5" customFormat="false" ht="27.75" hidden="false" customHeight="true" outlineLevel="0" collapsed="false">
      <c r="A5" s="3" t="s">
        <v>4</v>
      </c>
      <c r="B5" s="4" t="s">
        <v>5</v>
      </c>
    </row>
    <row r="6" customFormat="false" ht="15.75" hidden="false" customHeight="true" outlineLevel="0" collapsed="false">
      <c r="A6" s="3" t="s">
        <v>6</v>
      </c>
      <c r="B6" s="4" t="s">
        <v>7</v>
      </c>
    </row>
    <row r="7" customFormat="false" ht="15.75" hidden="false" customHeight="true" outlineLevel="0" collapsed="false">
      <c r="A7" s="3" t="s">
        <v>8</v>
      </c>
      <c r="B7" s="4" t="s">
        <v>9</v>
      </c>
    </row>
    <row r="8" customFormat="false" ht="15.75" hidden="false" customHeight="true" outlineLevel="0" collapsed="false">
      <c r="A8" s="3" t="s">
        <v>10</v>
      </c>
      <c r="B8" s="4" t="s">
        <v>11</v>
      </c>
    </row>
    <row r="10" customFormat="false" ht="33.75" hidden="false" customHeight="true" outlineLevel="0" collapsed="false">
      <c r="A10" s="5" t="s">
        <v>12</v>
      </c>
      <c r="B10" s="6" t="s">
        <v>13</v>
      </c>
    </row>
    <row r="11" customFormat="false" ht="15.75" hidden="false" customHeight="true" outlineLevel="0" collapsed="false">
      <c r="A11" s="7" t="s">
        <v>14</v>
      </c>
      <c r="B11" s="4" t="s">
        <v>15</v>
      </c>
    </row>
    <row r="12" customFormat="false" ht="15.75" hidden="false" customHeight="true" outlineLevel="0" collapsed="false">
      <c r="A12" s="7" t="s">
        <v>16</v>
      </c>
      <c r="B12" s="4" t="s">
        <v>17</v>
      </c>
    </row>
    <row r="13" customFormat="false" ht="42" hidden="false" customHeight="true" outlineLevel="0" collapsed="false">
      <c r="A13" s="3" t="s">
        <v>18</v>
      </c>
      <c r="B13" s="4" t="s">
        <v>19</v>
      </c>
    </row>
    <row r="14" customFormat="false" ht="42" hidden="false" customHeight="true" outlineLevel="0" collapsed="false">
      <c r="A14" s="3" t="s">
        <v>20</v>
      </c>
      <c r="B14" s="4" t="s">
        <v>21</v>
      </c>
    </row>
    <row r="15" customFormat="false" ht="55.5" hidden="false" customHeight="true" outlineLevel="0" collapsed="false">
      <c r="A15" s="3" t="s">
        <v>22</v>
      </c>
      <c r="B15" s="4" t="s">
        <v>23</v>
      </c>
    </row>
    <row r="17" customFormat="false" ht="21.75" hidden="false" customHeight="true" outlineLevel="0" collapsed="false">
      <c r="A17" s="8" t="s">
        <v>24</v>
      </c>
      <c r="B17" s="8"/>
    </row>
    <row r="18" customFormat="false" ht="55.5" hidden="false" customHeight="true" outlineLevel="0" collapsed="false">
      <c r="A18" s="9" t="s">
        <v>25</v>
      </c>
      <c r="B18" s="4" t="s">
        <v>26</v>
      </c>
    </row>
    <row r="19" customFormat="false" ht="55.5" hidden="false" customHeight="true" outlineLevel="0" collapsed="false">
      <c r="A19" s="9" t="s">
        <v>27</v>
      </c>
      <c r="B19" s="4" t="s">
        <v>28</v>
      </c>
    </row>
    <row r="20" customFormat="false" ht="27.75" hidden="false" customHeight="true" outlineLevel="0" collapsed="false">
      <c r="A20" s="9" t="s">
        <v>29</v>
      </c>
      <c r="B20" s="4" t="s">
        <v>30</v>
      </c>
    </row>
    <row r="21" customFormat="false" ht="15.75" hidden="false" customHeight="true" outlineLevel="0" collapsed="false">
      <c r="A21" s="9" t="s">
        <v>31</v>
      </c>
      <c r="B21" s="4" t="s">
        <v>32</v>
      </c>
    </row>
    <row r="23" customFormat="false" ht="21.75" hidden="false" customHeight="true" outlineLevel="0" collapsed="false">
      <c r="A23" s="10" t="s">
        <v>33</v>
      </c>
      <c r="B23" s="10"/>
    </row>
    <row r="24" customFormat="false" ht="84" hidden="false" customHeight="true" outlineLevel="0" collapsed="false">
      <c r="A24" s="11" t="s">
        <v>34</v>
      </c>
      <c r="B24" s="4" t="s">
        <v>35</v>
      </c>
    </row>
    <row r="25" customFormat="false" ht="69.75" hidden="false" customHeight="true" outlineLevel="0" collapsed="false">
      <c r="A25" s="11" t="s">
        <v>36</v>
      </c>
      <c r="B25" s="4" t="s">
        <v>37</v>
      </c>
    </row>
    <row r="26" customFormat="false" ht="42" hidden="false" customHeight="true" outlineLevel="0" collapsed="false">
      <c r="A26" s="11" t="s">
        <v>38</v>
      </c>
      <c r="B26" s="4" t="s">
        <v>39</v>
      </c>
    </row>
    <row r="27" customFormat="false" ht="42" hidden="false" customHeight="true" outlineLevel="0" collapsed="false">
      <c r="A27" s="11" t="s">
        <v>40</v>
      </c>
      <c r="B27" s="4" t="s">
        <v>41</v>
      </c>
    </row>
    <row r="28" customFormat="false" ht="42" hidden="false" customHeight="true" outlineLevel="0" collapsed="false">
      <c r="A28" s="11" t="s">
        <v>42</v>
      </c>
      <c r="B28" s="4" t="s">
        <v>43</v>
      </c>
    </row>
  </sheetData>
  <mergeCells count="2">
    <mergeCell ref="A17:B17"/>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2" width="34"/>
    <col collapsed="false" customWidth="true" hidden="false" outlineLevel="0" max="2" min="2" style="12" width="9"/>
    <col collapsed="false" customWidth="true" hidden="false" outlineLevel="0" max="4" min="3" style="12" width="17"/>
    <col collapsed="false" customWidth="true" hidden="false" outlineLevel="0" max="5" min="5" style="12" width="19"/>
    <col collapsed="false" customWidth="true" hidden="false" outlineLevel="0" max="6" min="6" style="12" width="64"/>
  </cols>
  <sheetData>
    <row r="1" customFormat="false" ht="17.25" hidden="false" customHeight="true" outlineLevel="0" collapsed="false">
      <c r="A1" s="13" t="s">
        <v>44</v>
      </c>
    </row>
    <row r="2" customFormat="false" ht="25.5" hidden="false" customHeight="true" outlineLevel="0" collapsed="false">
      <c r="A2" s="2" t="s">
        <v>45</v>
      </c>
    </row>
    <row r="3" customFormat="false" ht="15" hidden="false" customHeight="true" outlineLevel="0" collapsed="false">
      <c r="A3" s="14" t="s">
        <v>46</v>
      </c>
    </row>
    <row r="5" customFormat="false" ht="43.5" hidden="false" customHeight="true" outlineLevel="0" collapsed="false">
      <c r="A5" s="15" t="s">
        <v>47</v>
      </c>
      <c r="B5" s="15" t="s">
        <v>48</v>
      </c>
      <c r="C5" s="15" t="s">
        <v>49</v>
      </c>
      <c r="D5" s="15" t="s">
        <v>50</v>
      </c>
      <c r="E5" s="15" t="s">
        <v>51</v>
      </c>
      <c r="F5" s="15" t="s">
        <v>52</v>
      </c>
    </row>
    <row r="6" customFormat="false" ht="109.5" hidden="false" customHeight="true" outlineLevel="0" collapsed="false">
      <c r="A6" s="16" t="s">
        <v>53</v>
      </c>
      <c r="B6" s="17" t="n">
        <v>0.3</v>
      </c>
      <c r="C6" s="18" t="n">
        <v>1</v>
      </c>
      <c r="D6" s="18" t="n">
        <v>2</v>
      </c>
      <c r="E6" s="18" t="n">
        <v>4</v>
      </c>
      <c r="F6" s="16" t="s">
        <v>54</v>
      </c>
    </row>
    <row r="7" customFormat="false" ht="109.5" hidden="false" customHeight="true" outlineLevel="0" collapsed="false">
      <c r="A7" s="16" t="s">
        <v>55</v>
      </c>
      <c r="B7" s="17" t="n">
        <v>0.2</v>
      </c>
      <c r="C7" s="18" t="n">
        <v>5</v>
      </c>
      <c r="D7" s="18" t="n">
        <v>2</v>
      </c>
      <c r="E7" s="18" t="n">
        <v>4</v>
      </c>
      <c r="F7" s="16" t="s">
        <v>56</v>
      </c>
    </row>
    <row r="8" customFormat="false" ht="109.5" hidden="false" customHeight="true" outlineLevel="0" collapsed="false">
      <c r="A8" s="16" t="s">
        <v>57</v>
      </c>
      <c r="B8" s="17" t="n">
        <v>0.15</v>
      </c>
      <c r="C8" s="18" t="n">
        <v>5</v>
      </c>
      <c r="D8" s="18" t="n">
        <v>2</v>
      </c>
      <c r="E8" s="18" t="n">
        <v>3</v>
      </c>
      <c r="F8" s="16" t="s">
        <v>58</v>
      </c>
    </row>
    <row r="9" customFormat="false" ht="109.5" hidden="false" customHeight="true" outlineLevel="0" collapsed="false">
      <c r="A9" s="16" t="s">
        <v>59</v>
      </c>
      <c r="B9" s="17" t="n">
        <v>0.15</v>
      </c>
      <c r="C9" s="18" t="n">
        <v>4</v>
      </c>
      <c r="D9" s="18" t="n">
        <v>2</v>
      </c>
      <c r="E9" s="18" t="n">
        <v>3</v>
      </c>
      <c r="F9" s="16" t="s">
        <v>60</v>
      </c>
    </row>
    <row r="10" customFormat="false" ht="109.5" hidden="false" customHeight="true" outlineLevel="0" collapsed="false">
      <c r="A10" s="16" t="s">
        <v>61</v>
      </c>
      <c r="B10" s="17" t="n">
        <v>0.2</v>
      </c>
      <c r="C10" s="18" t="n">
        <v>1</v>
      </c>
      <c r="D10" s="18" t="n">
        <v>5</v>
      </c>
      <c r="E10" s="18" t="n">
        <v>5</v>
      </c>
      <c r="F10" s="16" t="s">
        <v>62</v>
      </c>
    </row>
    <row r="12" customFormat="false" ht="15" hidden="false" customHeight="true" outlineLevel="0" collapsed="false">
      <c r="A12" s="19" t="s">
        <v>63</v>
      </c>
      <c r="B12" s="20" t="n">
        <f aca="false">SUM(B6:B10)</f>
        <v>1</v>
      </c>
    </row>
    <row r="13" customFormat="false" ht="15" hidden="false" customHeight="true" outlineLevel="0" collapsed="false">
      <c r="A13" s="19" t="s">
        <v>64</v>
      </c>
      <c r="C13" s="21" t="n">
        <f aca="false">SUM(C6:C10)</f>
        <v>16</v>
      </c>
      <c r="D13" s="21" t="n">
        <f aca="false">SUM(D6:D10)</f>
        <v>13</v>
      </c>
      <c r="E13" s="21" t="n">
        <f aca="false">SUM(E6:E10)</f>
        <v>19</v>
      </c>
    </row>
    <row r="14" customFormat="false" ht="15" hidden="false" customHeight="true" outlineLevel="0" collapsed="false">
      <c r="A14" s="22" t="s">
        <v>65</v>
      </c>
      <c r="C14" s="23" t="n">
        <f aca="false">SUMPRODUCT($B$6:$B$10,C6:C10)</f>
        <v>2.85</v>
      </c>
      <c r="D14" s="23" t="n">
        <f aca="false">SUMPRODUCT($B$6:$B$10,D6:D10)</f>
        <v>2.6</v>
      </c>
      <c r="E14" s="24" t="n">
        <f aca="false">SUMPRODUCT($B$6:$B$10,E6:E10)</f>
        <v>3.9</v>
      </c>
    </row>
    <row r="15" customFormat="false" ht="15" hidden="false" customHeight="true" outlineLevel="0" collapsed="false">
      <c r="A15" s="22" t="s">
        <v>66</v>
      </c>
      <c r="C15" s="25" t="n">
        <f aca="false">MAX(C14:E14)</f>
        <v>3.9</v>
      </c>
    </row>
    <row r="17" customFormat="false" ht="55.5" hidden="false" customHeight="true" outlineLevel="0" collapsed="false">
      <c r="A17" s="26" t="s">
        <v>67</v>
      </c>
      <c r="B17" s="26"/>
      <c r="C17" s="26"/>
      <c r="D17" s="26"/>
      <c r="E17" s="26"/>
      <c r="F17" s="26"/>
    </row>
  </sheetData>
  <mergeCells count="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2" width="10"/>
    <col collapsed="false" customWidth="true" hidden="false" outlineLevel="0" max="2" min="2" style="12" width="40"/>
    <col collapsed="false" customWidth="true" hidden="false" outlineLevel="0" max="5" min="3" style="12" width="18"/>
    <col collapsed="false" customWidth="true" hidden="false" outlineLevel="0" max="6" min="6" style="12" width="58"/>
  </cols>
  <sheetData>
    <row r="1" customFormat="false" ht="17.25" hidden="false" customHeight="true" outlineLevel="0" collapsed="false">
      <c r="A1" s="13" t="s">
        <v>68</v>
      </c>
    </row>
    <row r="2" customFormat="false" ht="25.5" hidden="false" customHeight="true" outlineLevel="0" collapsed="false">
      <c r="A2" s="2" t="s">
        <v>69</v>
      </c>
    </row>
    <row r="4" customFormat="false" ht="39.75" hidden="false" customHeight="true" outlineLevel="0" collapsed="false">
      <c r="A4" s="15" t="s">
        <v>70</v>
      </c>
      <c r="B4" s="15" t="s">
        <v>71</v>
      </c>
      <c r="C4" s="15" t="s">
        <v>72</v>
      </c>
      <c r="D4" s="15" t="s">
        <v>73</v>
      </c>
      <c r="E4" s="15" t="s">
        <v>74</v>
      </c>
      <c r="F4" s="15" t="s">
        <v>75</v>
      </c>
    </row>
    <row r="5" customFormat="false" ht="105" hidden="false" customHeight="true" outlineLevel="0" collapsed="false">
      <c r="A5" s="27" t="s">
        <v>76</v>
      </c>
      <c r="B5" s="16" t="s">
        <v>77</v>
      </c>
      <c r="C5" s="28" t="s">
        <v>78</v>
      </c>
      <c r="D5" s="29" t="s">
        <v>79</v>
      </c>
      <c r="E5" s="29" t="s">
        <v>79</v>
      </c>
      <c r="F5" s="16" t="s">
        <v>80</v>
      </c>
    </row>
    <row r="6" customFormat="false" ht="105" hidden="false" customHeight="true" outlineLevel="0" collapsed="false">
      <c r="A6" s="27" t="s">
        <v>81</v>
      </c>
      <c r="B6" s="16" t="s">
        <v>82</v>
      </c>
      <c r="C6" s="28" t="s">
        <v>78</v>
      </c>
      <c r="D6" s="29" t="s">
        <v>79</v>
      </c>
      <c r="E6" s="29" t="s">
        <v>79</v>
      </c>
      <c r="F6" s="16" t="s">
        <v>83</v>
      </c>
    </row>
    <row r="7" customFormat="false" ht="105" hidden="false" customHeight="true" outlineLevel="0" collapsed="false">
      <c r="A7" s="27" t="s">
        <v>84</v>
      </c>
      <c r="B7" s="16" t="s">
        <v>85</v>
      </c>
      <c r="C7" s="29" t="s">
        <v>79</v>
      </c>
      <c r="D7" s="29" t="s">
        <v>79</v>
      </c>
      <c r="E7" s="29" t="s">
        <v>79</v>
      </c>
      <c r="F7" s="16" t="s">
        <v>86</v>
      </c>
    </row>
    <row r="8" customFormat="false" ht="105" hidden="false" customHeight="true" outlineLevel="0" collapsed="false">
      <c r="A8" s="27" t="s">
        <v>87</v>
      </c>
      <c r="B8" s="16" t="s">
        <v>88</v>
      </c>
      <c r="C8" s="29" t="s">
        <v>79</v>
      </c>
      <c r="D8" s="29" t="s">
        <v>79</v>
      </c>
      <c r="E8" s="29" t="s">
        <v>79</v>
      </c>
      <c r="F8" s="16" t="s">
        <v>89</v>
      </c>
    </row>
    <row r="9" customFormat="false" ht="105" hidden="false" customHeight="true" outlineLevel="0" collapsed="false">
      <c r="A9" s="27" t="s">
        <v>90</v>
      </c>
      <c r="B9" s="16" t="s">
        <v>91</v>
      </c>
      <c r="C9" s="29" t="s">
        <v>79</v>
      </c>
      <c r="D9" s="29" t="s">
        <v>79</v>
      </c>
      <c r="E9" s="29" t="s">
        <v>79</v>
      </c>
      <c r="F9" s="16" t="s">
        <v>92</v>
      </c>
    </row>
    <row r="11" customFormat="false" ht="15" hidden="false" customHeight="true" outlineLevel="0" collapsed="false">
      <c r="A11" s="22" t="s">
        <v>93</v>
      </c>
      <c r="C11" s="30" t="n">
        <f aca="false">COUNTIF(C5:C9,"FAIL")</f>
        <v>2</v>
      </c>
      <c r="D11" s="30" t="n">
        <f aca="false">COUNTIF(D5:D9,"FAIL")</f>
        <v>0</v>
      </c>
      <c r="E11" s="30" t="n">
        <f aca="false">COUNTIF(E5:E9,"FAIL")</f>
        <v>0</v>
      </c>
    </row>
    <row r="13" customFormat="false" ht="39.75" hidden="false" customHeight="true" outlineLevel="0" collapsed="false">
      <c r="A13" s="26" t="s">
        <v>94</v>
      </c>
      <c r="B13" s="26"/>
      <c r="C13" s="26"/>
      <c r="D13" s="26"/>
      <c r="E13" s="26"/>
      <c r="F13" s="26"/>
    </row>
  </sheetData>
  <mergeCells count="1">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20"/>
    <col collapsed="false" customWidth="true" hidden="false" outlineLevel="0" max="3" min="3" style="0" width="78"/>
  </cols>
  <sheetData>
    <row r="1" customFormat="false" ht="17.35" hidden="false" customHeight="false" outlineLevel="0" collapsed="false">
      <c r="A1" s="1" t="s">
        <v>95</v>
      </c>
    </row>
    <row r="2" customFormat="false" ht="15" hidden="false" customHeight="false" outlineLevel="0" collapsed="false">
      <c r="A2" s="31" t="s">
        <v>96</v>
      </c>
    </row>
    <row r="4" customFormat="false" ht="15" hidden="false" customHeight="false" outlineLevel="0" collapsed="false">
      <c r="A4" s="32" t="s">
        <v>97</v>
      </c>
    </row>
    <row r="5" customFormat="false" ht="15" hidden="false" customHeight="false" outlineLevel="0" collapsed="false">
      <c r="A5" s="33" t="s">
        <v>98</v>
      </c>
      <c r="B5" s="34" t="n">
        <v>4200000</v>
      </c>
    </row>
    <row r="6" customFormat="false" ht="15" hidden="false" customHeight="false" outlineLevel="0" collapsed="false">
      <c r="A6" s="33" t="s">
        <v>99</v>
      </c>
      <c r="B6" s="35" t="n">
        <v>87</v>
      </c>
    </row>
    <row r="7" customFormat="false" ht="15" hidden="false" customHeight="false" outlineLevel="0" collapsed="false">
      <c r="A7" s="33" t="s">
        <v>100</v>
      </c>
      <c r="B7" s="36" t="n">
        <v>0.00042</v>
      </c>
    </row>
    <row r="8" customFormat="false" ht="15" hidden="false" customHeight="false" outlineLevel="0" collapsed="false">
      <c r="A8" s="33" t="s">
        <v>101</v>
      </c>
      <c r="B8" s="37" t="n">
        <v>0.942</v>
      </c>
    </row>
    <row r="9" customFormat="false" ht="15" hidden="false" customHeight="false" outlineLevel="0" collapsed="false">
      <c r="A9" s="33" t="s">
        <v>102</v>
      </c>
      <c r="B9" s="37" t="n">
        <v>0.904</v>
      </c>
    </row>
    <row r="10" customFormat="false" ht="15" hidden="false" customHeight="false" outlineLevel="0" collapsed="false">
      <c r="A10" s="33" t="s">
        <v>103</v>
      </c>
      <c r="B10" s="37" t="n">
        <v>0.91</v>
      </c>
    </row>
    <row r="11" customFormat="false" ht="15" hidden="false" customHeight="false" outlineLevel="0" collapsed="false">
      <c r="A11" s="33" t="s">
        <v>104</v>
      </c>
      <c r="B11" s="34" t="n">
        <v>21</v>
      </c>
    </row>
    <row r="12" customFormat="false" ht="15" hidden="false" customHeight="false" outlineLevel="0" collapsed="false">
      <c r="A12" s="33" t="s">
        <v>105</v>
      </c>
      <c r="B12" s="34" t="n">
        <v>28</v>
      </c>
    </row>
    <row r="13" customFormat="false" ht="15" hidden="false" customHeight="false" outlineLevel="0" collapsed="false">
      <c r="A13" s="33" t="s">
        <v>106</v>
      </c>
      <c r="B13" s="34" t="n">
        <v>45</v>
      </c>
    </row>
    <row r="15" customFormat="false" ht="15" hidden="false" customHeight="false" outlineLevel="0" collapsed="false">
      <c r="A15" s="32" t="s">
        <v>107</v>
      </c>
    </row>
    <row r="16" customFormat="false" ht="31.5" hidden="false" customHeight="true" outlineLevel="0" collapsed="false">
      <c r="A16" s="33" t="s">
        <v>108</v>
      </c>
      <c r="B16" s="38" t="n">
        <f aca="false">B5*B6</f>
        <v>365400000</v>
      </c>
      <c r="C16" s="39" t="s">
        <v>109</v>
      </c>
    </row>
    <row r="17" customFormat="false" ht="31.5" hidden="false" customHeight="true" outlineLevel="0" collapsed="false">
      <c r="A17" s="33" t="s">
        <v>110</v>
      </c>
      <c r="B17" s="38" t="n">
        <f aca="false">B5*B6*B7</f>
        <v>153468</v>
      </c>
      <c r="C17" s="39" t="s">
        <v>111</v>
      </c>
    </row>
    <row r="18" customFormat="false" ht="31.5" hidden="false" customHeight="true" outlineLevel="0" collapsed="false">
      <c r="A18" s="33" t="s">
        <v>112</v>
      </c>
      <c r="B18" s="40" t="n">
        <f aca="false">B5*B11</f>
        <v>88200000</v>
      </c>
      <c r="C18" s="39" t="s">
        <v>113</v>
      </c>
    </row>
    <row r="19" customFormat="false" ht="15.75" hidden="false" customHeight="true" outlineLevel="0" collapsed="false">
      <c r="A19" s="33" t="s">
        <v>114</v>
      </c>
      <c r="B19" s="40" t="n">
        <f aca="false">B5*B12</f>
        <v>117600000</v>
      </c>
      <c r="C19" s="39"/>
    </row>
    <row r="20" customFormat="false" ht="31.5" hidden="false" customHeight="true" outlineLevel="0" collapsed="false">
      <c r="A20" s="33" t="s">
        <v>115</v>
      </c>
      <c r="B20" s="38" t="n">
        <f aca="false">B5*B11*B6</f>
        <v>7673400000</v>
      </c>
      <c r="C20" s="39" t="s">
        <v>116</v>
      </c>
    </row>
    <row r="21" customFormat="false" ht="15.75" hidden="false" customHeight="true" outlineLevel="0" collapsed="false">
      <c r="A21" s="33" t="s">
        <v>117</v>
      </c>
      <c r="B21" s="38" t="n">
        <f aca="false">B5*B12*B6</f>
        <v>10231200000</v>
      </c>
      <c r="C21" s="39"/>
    </row>
    <row r="23" customFormat="false" ht="15" hidden="false" customHeight="false" outlineLevel="0" collapsed="false">
      <c r="A23" s="41" t="s">
        <v>118</v>
      </c>
    </row>
    <row r="24" customFormat="false" ht="30" hidden="false" customHeight="true" outlineLevel="0" collapsed="false">
      <c r="A24" s="33" t="s">
        <v>119</v>
      </c>
      <c r="B24" s="42" t="n">
        <f aca="false">B8-B9</f>
        <v>0.0379999999999999</v>
      </c>
      <c r="C24" s="39" t="s">
        <v>120</v>
      </c>
    </row>
    <row r="25" customFormat="false" ht="30" hidden="false" customHeight="true" outlineLevel="0" collapsed="false">
      <c r="A25" s="33" t="s">
        <v>121</v>
      </c>
      <c r="B25" s="42" t="n">
        <f aca="false">B9-B10</f>
        <v>-0.00600000000000001</v>
      </c>
      <c r="C25" s="39" t="s">
        <v>122</v>
      </c>
    </row>
    <row r="26" customFormat="false" ht="30" hidden="false" customHeight="true" outlineLevel="0" collapsed="false">
      <c r="A26" s="33" t="s">
        <v>123</v>
      </c>
      <c r="B26" s="43" t="n">
        <f aca="false">B5*(B8-B9)</f>
        <v>159600</v>
      </c>
      <c r="C26" s="39" t="s">
        <v>124</v>
      </c>
    </row>
    <row r="27" customFormat="false" ht="30" hidden="false" customHeight="true" outlineLevel="0" collapsed="false">
      <c r="A27" s="33" t="s">
        <v>125</v>
      </c>
      <c r="B27" s="43" t="n">
        <f aca="false">B5*(B8-B9)*B11</f>
        <v>3351599.99999999</v>
      </c>
      <c r="C27" s="39" t="s">
        <v>126</v>
      </c>
    </row>
    <row r="28" customFormat="false" ht="15.75" hidden="false" customHeight="true" outlineLevel="0" collapsed="false">
      <c r="A28" s="33" t="s">
        <v>127</v>
      </c>
      <c r="B28" s="43" t="n">
        <f aca="false">B5*(B8-B9)*B12</f>
        <v>4468799.99999999</v>
      </c>
      <c r="C28" s="39"/>
    </row>
    <row r="31" customFormat="false" ht="54" hidden="false" customHeight="true" outlineLevel="0" collapsed="false">
      <c r="A31" s="26" t="s">
        <v>128</v>
      </c>
      <c r="B31" s="26"/>
      <c r="C31" s="26"/>
    </row>
    <row r="33" customFormat="false" ht="42" hidden="false" customHeight="true" outlineLevel="0" collapsed="false">
      <c r="A33" s="44" t="s">
        <v>129</v>
      </c>
      <c r="B33" s="44"/>
      <c r="C33" s="44"/>
    </row>
  </sheetData>
  <mergeCells count="2">
    <mergeCell ref="A31:C31"/>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2026-08-26T06:15:57Z</dcterms:created>
  <dc:creator>openpyxl</dc:creator>
  <dc:description/>
  <dc:language>en-US</dc:language>
  <cp:lastModifiedBy/>
  <dcterms:modified xsi:type="dcterms:W3CDTF">2026-08-26T06:17:58Z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