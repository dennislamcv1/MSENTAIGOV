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Disposition" sheetId="1" state="visible" r:id="rId3"/>
    <sheet name="Traceability Matrix" sheetId="2" state="visible" r:id="rId4"/>
    <sheet name="Open Determina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<sst xmlns="http://schemas.openxmlformats.org/spreadsheetml/2006/main" count="478" uniqueCount="304">
  <si>
    <t xml:space="preserve">UNIFIED RISK DISPOSITION — ALL OPEN ITEMS</t>
  </si>
  <si>
    <t xml:space="preserve">Meridian Health Partners Ltd.  |  Insurance Claims Triage AI v2.4  |  3 July 2026  |  Every item traces to a preceding section. No risk appears here that was not analysed upstream.</t>
  </si>
  <si>
    <t xml:space="preserve">Risk ID</t>
  </si>
  <si>
    <t xml:space="preserve">Severity</t>
  </si>
  <si>
    <t xml:space="preserve">Risk Statement</t>
  </si>
  <si>
    <t xml:space="preserve">Source Sections &amp; Findings</t>
  </si>
  <si>
    <t xml:space="preserve">Assigned Control / Mitigation</t>
  </si>
  <si>
    <t xml:space="preserve">Named Owner</t>
  </si>
  <si>
    <t xml:space="preserve">Target Close</t>
  </si>
  <si>
    <t xml:space="preserve">Residual Risk After Control</t>
  </si>
  <si>
    <t xml:space="preserve">RSK-01</t>
  </si>
  <si>
    <t xml:space="preserve">CRITICAL</t>
  </si>
  <si>
    <t xml:space="preserve">Transactional output is dispatched to backend financial queues without structural validation, allowing adversarial instructions surviving the decoder to redirect high-risk claims away from human review and execute unauthorised state changes in claims adjudication systems.</t>
  </si>
  <si>
    <t xml:space="preserve">§3.1 AS-04 · §3.2 ADV-03 (CRITICAL) · §3.3 DID-02 (C2.2), DID-05 (C2.5) · §3.3 HP-01</t>
  </si>
  <si>
    <t xml:space="preserve">Deploy pydantic output data contracts and a structural validation layer between decoder and dispatch, failing closed to human handling on validation failure. Enforce separation between response content and routing control tokens. Reconcile intended routing against actual queue placement outside the model's own output path.</t>
  </si>
  <si>
    <t xml:space="preserve">Application Security Lead</t>
  </si>
  <si>
    <t xml:space="preserve">4 July 2026 (24h)</t>
  </si>
  <si>
    <t xml:space="preserve">Validation enforces schema conformance, not semantic correctness: a well-formed instruction to route a high-risk claim to standard adjudication still passes. Routing integrity reconciliation (C2.5) closes that remainder and is scheduled with the same control.</t>
  </si>
  <si>
    <t xml:space="preserve">RSK-02</t>
  </si>
  <si>
    <t xml:space="preserve">ClaimsTriage v2.4 cannot be demonstrated free of an attacker-controlled training-time backdoor (CVE-2025-XXXX). It was compiled on NeuralCore v3.3.2, inside the affected range, on a corpus ingested from an external vendor over a network connection with no integrity verification. It operates as the sole pre-authorization screening layer with no parallel fallback.</t>
  </si>
  <si>
    <t xml:space="preserve">§4.2 CVE-2025-XXXX · §3.1 AS-05 · §3.3 DID-04 (C3.1) · Rollback Plan MHP-OPSC-RECOVERY-v2</t>
  </si>
  <si>
    <t xml:space="preserve">Hybrid strategy (weighted score 3.90, passes all five mandatory gates): patch build environment to NeuralCore v3.5.0 within the 4-hour window and freeze training on the affected library; full retrain on clean verified data. Compensating controls during the retrain window: CC-1 v2.3 shadow comparator, CC-2 output distribution monitoring, CC-3 enhanced human review sampling.</t>
  </si>
  <si>
    <t xml:space="preserve">Director of AI Production Infrastructure Operations</t>
  </si>
  <si>
    <t xml:space="preserve">Patch 3 July 2026; retrain complete 31 July 2026</t>
  </si>
  <si>
    <t xml:space="preserve">ACCEPTED RISK, SIGNED. For 3-4 weeks the deployment processes 88-118 million claims carrying $7.67-10.23bn of transaction value through a classifier that cannot be demonstrated clean. The exposure is unproven and probabilistic; the rollback alternative is certain and immediate (SLA breach at cutover plus 3.35m backlogged claims). Countersigned by the AI Governance Lead and CISO. Reviewed weekly and on any shadow-divergence alert.</t>
  </si>
  <si>
    <t xml:space="preserve">RSK-03</t>
  </si>
  <si>
    <t xml:space="preserve">No forensic analysis and no Article 33 breach assessment were performed on the ~1,200 adversarial queries that executed through the full transformer stack during incident MDC-2026-8891. The system's two demonstrated failure modes are routing bypass of Article 9 claims and system prompt leakage from a context window containing retrieved clinical records. Either engages Article 4(12).</t>
  </si>
  <si>
    <t xml:space="preserve">§4.1 MDC-2026-8891 · §3.2 ADV-02, ADV-03 · §2.2 GAP-05</t>
  </si>
  <si>
    <t xml:space="preserve">Immediate forensic reconstruction of the 1,200 queries from the 12-month telemetry archive. Formal Article 33 assessment with documented reasoning whether or not notification follows. Article 33(5) record created regardless of outcome. If notifiable, late notification under Article 33(1) accompanied by documented reasons for the delay. Determine OD-08 first: whether this was authorised red-team traffic.</t>
  </si>
  <si>
    <t xml:space="preserve">Lead Data Privacy Officer</t>
  </si>
  <si>
    <t xml:space="preserve">6 July 2026 (72h)</t>
  </si>
  <si>
    <t xml:space="preserve">THE 72-HOUR CLOCK HAS ALREADY RUN. Awareness dates from the alert, within the last 90 days. If the incident was notifiable, the deadline passed unnoticed and cannot be recovered — only mitigated by prompt late notification with reasons. Forensic reconstruction may also prove inconclusive if telemetry granularity is insufficient, in which case the inability to determine the outcome is itself the finding to record.</t>
  </si>
  <si>
    <t xml:space="preserve">RSK-04</t>
  </si>
  <si>
    <t xml:space="preserve">The Article 22 position is unevidenced. The package asserts that outputs influence but do not solely determine claim outcomes, resting on human review of flagged claims. No review rate, override rate or reviewer authority matrix exists. The system is the sole screening layer, dispatches transactional instructions rather than recommendations, and red-teamers bypassed routing to review in 14.2% of variations.</t>
  </si>
  <si>
    <t xml:space="preserve">§2.2 GAP-05 · §2.4 OD-03 · §3.2 ADV-03 · §3.3 DID-05 (C2.5)</t>
  </si>
  <si>
    <t xml:space="preserve">Instrument the review queue for review rate, override rate and median time-on-record. Publish a reviewer authority matrix confirming adjudicators may overturn any output without escalation and are not penalised for doing so. Establish an override floor below which the review step is presumed nominal and the Article 22 position re-opens. Implement and evidence Article 22(3) safeguards.</t>
  </si>
  <si>
    <t xml:space="preserve">AI Governance Lead</t>
  </si>
  <si>
    <t xml:space="preserve">17 July 2026 (baseline before audit)</t>
  </si>
  <si>
    <t xml:space="preserve">Instrumentation makes the answer visible; it does not make it favourable. If measurement shows review is nominal, Article 22(1) applies to automated decisions on special category data, Article 22(4) restricts the available grounds, and the lawfulness of the processing itself is in question. THIS IS THE ITEM THAT CAN CHANGE THE AUDIT VERDICT TO A PAUSE RECOMMENDATION. Automation bias is separately untouched: concordance is not evidence of independent judgement.</t>
  </si>
  <si>
    <t xml:space="preserve">RSK-05</t>
  </si>
  <si>
    <t xml:space="preserve">HIGH</t>
  </si>
  <si>
    <t xml:space="preserve">The public claim ingestion boundary relies on signature-based filtering that is defeated by token-splitting and character obfuscation. Demonstrated in adversarial testing and exploited in production: ~1,200 queries completed the full stack at roughly 27 requests per minute, far below the 100/min per-source rate threshold, which never applied to them.</t>
  </si>
  <si>
    <t xml:space="preserve">§3.1 AS-01 · §3.2 ADV-01 (HIGH) · §3.3 DID-03 (C1.3), DID-08 (C1.1), DID-09 (C2.1) · §3.3 HP-02 · §4.1 MDC-2026-8891</t>
  </si>
  <si>
    <t xml:space="preserve">Input guardrail layer ahead of the tokenizer: deterministic token-length caps, Unicode normalisation with homoglyph folding, semantic pre-classification identifying injection patterns by structure rather than string. Extend WAF with OWASP Top 10 for LLM signatures. Replace per-source rate thresholds with behaviour-based anomaly detection. Apply the same controls to the PDF document parsing path.</t>
  </si>
  <si>
    <t xml:space="preserve">Principal AI Engineer</t>
  </si>
  <si>
    <t xml:space="preserve">Semantic pre-classification is itself a model and will carry false negatives. The control raises attacker cost substantially; it does not close the surface. Behaviour-based detection introduces false-positive risk against legitimate peak load of ~48.6 claims/second and requires tuning against the 11:00-15:00 window before enforcement.</t>
  </si>
  <si>
    <t xml:space="preserve">RSK-06</t>
  </si>
  <si>
    <t xml:space="preserve">The context window assembles untrusted claimant text, retrieved policy documents and system routing instructions without structural boundaries. System instructions are appended as an un-delimited static prompt, so the model cannot distinguish instruction from data.</t>
  </si>
  <si>
    <t xml:space="preserve">§3.1 AS-03 · §3.2 ADV-02 (MEDIUM) · §3.3 DID-01 (C2.4) · §3.3 HP-03 · AML §5.2 processing layer</t>
  </si>
  <si>
    <t xml:space="preserve">Encapsulate untrusted claimant text within cryptographically random per-request delimiters. Establish an explicit instruction hierarchy in which system directives and retrieved content outrank claimant-field content. Constrain RAG retrieval scope to the claimant's own records absent a documented basis.</t>
  </si>
  <si>
    <t xml:space="preserve">10 July 2026 (7 days)</t>
  </si>
  <si>
    <t xml:space="preserve">SLA EXCEPTION, ACCEPTED. The rubric mandates a 72-hour cycle for HIGH; this requires 7 days because it is a prompt architecture change needing regression testing against 4.2m claims/day with 3.2 points of accuracy headroom. Interim compensating controls deploy within 24 hours. Signed acceptance by the AI Governance Lead for the 4-day excess. Encapsulation reduces override probability; it cannot enforce an outcome inside attention.</t>
  </si>
  <si>
    <t xml:space="preserve">RSK-07</t>
  </si>
  <si>
    <t xml:space="preserve">Article 9 clinical corpora leave Meridian's trust boundary for model development by NovaTriage Analytics Ltd. under a de-identification control that, as originally specified, could not work: differential privacy was to be applied to the corpus before export, which does nothing to a dataset in transit or at rest.</t>
  </si>
  <si>
    <t xml:space="preserve">§2.2 GAP-02 · §2.3 R-DEID-04 · RoPA P-10 · §2.4 OD-02</t>
  </si>
  <si>
    <t xml:space="preserve">Clinical NER masking pipeline substituting direct and indirect identifiers before export, with dates generalised to month and year. Export gated on a pre-transfer masking verification report. DP-SGD re-pointed to the training run where it belongs. Export suspended until OD-02 resolves and a Chapter V instrument is in place.</t>
  </si>
  <si>
    <t xml:space="preserve">Principal AI Architect (pipeline); Lead Data Privacy Officer (transfer instrument)</t>
  </si>
  <si>
    <t xml:space="preserve">Export suspended; controls in place by 17 July 2026</t>
  </si>
  <si>
    <t xml:space="preserve">The exported corpus remains personal data under Article 4(5) and Recital 26. It is masked, not anonymised, so technical control ends at the boundary and contractual control takes over. The Article 28 agreement and Chapter V instrument carry what de-identification cannot. Suspending the export delays the retrain that RSK-02 depends on — a real tension between the privacy and security workstreams, surfaced rather than resolved silently.</t>
  </si>
  <si>
    <t xml:space="preserve">RSK-08</t>
  </si>
  <si>
    <t xml:space="preserve">No Chapter V determination exists for any of the ten registered processing activities. The register recorded 'none identified at this stage' — a statement that no assessment was performed, not a finding that no transfer occurs. Article 9 data may be leaving the EEA under no identified transfer mechanism.</t>
  </si>
  <si>
    <t xml:space="preserve">§2.2 GAP-06 · §2.4 OD-02, OD-04 · RoPA transfers column, all records</t>
  </si>
  <si>
    <t xml:space="preserve">Transfer mapping across all ten activities: recipient country of establishment, place of processing, and enumerated sub-processors including the Microsoft chain for telemetry. For each third-country transfer, record the Chapter V instrument — adequacy, or Article 46(2)(c) SCCs with a transfer impact assessment — and reference it in the RoPA.</t>
  </si>
  <si>
    <t xml:space="preserve">17 July 2026</t>
  </si>
  <si>
    <t xml:space="preserve">SCCs bind the recipient but not a third country's public authorities. Where a transfer impact assessment identifies access powers clauses cannot neutralise, supplementary measures may be insufficient, in which case the transfer should not proceed rather than proceed documented. Adequacy is revocable and re-checked at each cadence point rather than assumed durable.</t>
  </si>
  <si>
    <t xml:space="preserve">RSK-09</t>
  </si>
  <si>
    <t xml:space="preserve">Retraining pipelines have no DP-SGD integration and no epsilon-delta budget, leaving model weights exposed to membership inference and text memorisation over Article 9 narratives. This also blocks the de-identification recommendation, which cannot be implemented without it.</t>
  </si>
  <si>
    <t xml:space="preserve">§3.3 DID-06 (C3.3) · §2.3 recommendation · §2.3 R-DEID-05</t>
  </si>
  <si>
    <t xml:space="preserve">Integrate DP-SGD into the retraining pipeline with a documented epsilon-delta ceiling and cumulative accounting across all training runs, including unscheduled remediation retrains. Sequence with the RSK-02 retrain so the clean-data rebuild and the privacy control land together rather than requiring two retrains.</t>
  </si>
  <si>
    <t xml:space="preserve">Principal AI Architect</t>
  </si>
  <si>
    <t xml:space="preserve">31 July 2026 (with the RSK-02 retrain)</t>
  </si>
  <si>
    <t xml:space="preserve">DP-SGD bounds membership inference advantage by a stated epsilon; it does not reduce it to zero, and a weak epsilon bounds very little. Noise degrades accuracy on long-tail presentations — see RSK-14. If sequencing with RSK-02 slips, the retrain proceeds without it and the exposure persists to the following cycle.</t>
  </si>
  <si>
    <t xml:space="preserve">RSK-10</t>
  </si>
  <si>
    <t xml:space="preserve">Corpus and RAG library ingestion has no cryptographic integrity verification. This is the control whose absence converts CVE-2025-XXXX from an advisory into an unfalsifiable exposure, and it is also the write-side control for adversarial finding ADV-02.</t>
  </si>
  <si>
    <t xml:space="preserve">§3.3 DID-04 (C3.1) · §4.2 CVE-2025-XXXX · §3.2 ADV-02 (write side) · §3.1 AS-05</t>
  </si>
  <si>
    <t xml:space="preserve">Immutable hash-chain verification at every corpus and RAG ingestion event, with signed manifests. Must be operational BEFORE the RSK-02 retrain corpus is assembled, so the replacement model can be demonstrated clean in a way v2.4 cannot.</t>
  </si>
  <si>
    <t xml:space="preserve">24 July 2026 (before retrain corpus assembly)</t>
  </si>
  <si>
    <t xml:space="preserve">Hashing proves a corpus is unchanged since ingestion; it does not prove the source was clean. Integrity verification at the boundary must be paired with vendor-side provenance assurances under the Article 28 agreement. If this slips past the retrain, the replacement model inherits the same unfalsifiable position and the next advisory produces the same crisis.</t>
  </si>
  <si>
    <t xml:space="preserve">RSK-11</t>
  </si>
  <si>
    <t xml:space="preserve">The high-risk human review queue presents full Article 9 narratives, supporting medical documentation and model rationale to reviewers with no attribute-based access restriction and no field-level encryption. This is the point in the deployment where the richest clinical content meets human eyes.</t>
  </si>
  <si>
    <t xml:space="preserve">§2.2 GAP-03 · RoPA P-08</t>
  </si>
  <si>
    <t xml:space="preserve">Attribute-based access control scoped to claim assignment, not role alone. AES-256 field-level encryption on narrative and documentation fields with keys separated from application credentials. Immutable logging of every read, including reads producing no decision.</t>
  </si>
  <si>
    <t xml:space="preserve">Chief Information Security Officer</t>
  </si>
  <si>
    <t xml:space="preserve">31 July 2026</t>
  </si>
  <si>
    <t xml:space="preserve">The control restricts who may read, not what they do with what they read. Exfiltration by an authorised reader is outside its reach; logging detects after the fact. Assignment-scoped access introduces friction during the 11:00-15:00 peak, and pressure to widen scope during peak is the predictable failure mode.</t>
  </si>
  <si>
    <t xml:space="preserve">RSK-12</t>
  </si>
  <si>
    <t xml:space="preserve">MEDIUM</t>
  </si>
  <si>
    <t xml:space="preserve">Semantic re-identification remains possible in the exported corpus. Quasi-identifiers are embedded in narrative prose — unusual multi-morbidity presentations, rare procedures, distinctive injury mechanisms — which masking cannot remove without destroying the clinical signal the model exists to learn.</t>
  </si>
  <si>
    <t xml:space="preserve">§2.3 R-DEID-01</t>
  </si>
  <si>
    <t xml:space="preserve">Contractual restriction on re-identification attempts in the Article 28 agreement with audit rights. Vendor-side access limited to named personnel. Periodic motivated-intruder testing against a sample of the masked corpus.</t>
  </si>
  <si>
    <t xml:space="preserve">Reviewed at each corpus freeze; first review 31 July 2026</t>
  </si>
  <si>
    <t xml:space="preserve">Irreducible without abandoning the training use. An attacker with external clinical knowledge — a treating clinician, an employer, a family member — may still single out an individual. Accepted as the residual cost of retaining clinical utility.</t>
  </si>
  <si>
    <t xml:space="preserve">RSK-13</t>
  </si>
  <si>
    <t xml:space="preserve">NER false negatives will leave direct identifiers unmasked in the exported corpus. At 99.5% entity-level recall across millions of records the rate is excellent and the absolute number is not zero.</t>
  </si>
  <si>
    <t xml:space="preserve">§2.3 R-DEID-03 · §2.2 GAP-02</t>
  </si>
  <si>
    <t xml:space="preserve">Adversarial gold-standard evaluation set enriched for rare surnames, non-Latin names and unusual facility identifiers. Two-assessor manual audit of a stratified 500-record sample per corpus freeze with zero tolerance for a confirmed direct-identifier miss. Full-corpus re-run on any single miss rather than a tolerance band.</t>
  </si>
  <si>
    <t xml:space="preserve">Each corpus freeze; first 31 July 2026</t>
  </si>
  <si>
    <t xml:space="preserve">Bounded, not eliminated. The inverse error carries cost too: a rare surname misread as a clinical term is removed, quietly degrading the record. Sampling detects rate, not individual instances.</t>
  </si>
  <si>
    <t xml:space="preserve">RSK-14</t>
  </si>
  <si>
    <t xml:space="preserve">Differential privacy noise disproportionately degrades classification accuracy on classes with few training examples — rare conditions and atypical claim profiles. In a system governing access to settlement, the claimants with the least common presentations receive the least reliable triage, and those cohorts may correlate with demographic groups.</t>
  </si>
  <si>
    <t xml:space="preserve">§2.3 R-DEID-02 · §2.4 OD-07</t>
  </si>
  <si>
    <t xml:space="preserve">Stratified accuracy monitoring by condition-frequency band and, subject to OD-07, by demographic dimension. Epsilon tuned against measured accuracy on rare-condition cohorts rather than aggregate accuracy alone. Disparate-impact assessment before each model release.</t>
  </si>
  <si>
    <t xml:space="preserve">Each model release; first with the 31 July retrain</t>
  </si>
  <si>
    <t xml:space="preserve">A fairness exposure as much as a utility one. Monitoring surfaces disparity; correcting it requires trading privacy budget against long-tail accuracy, and that trade has no neutral setting. The decision should be documented and owned rather than implicit in a hyperparameter.</t>
  </si>
  <si>
    <t xml:space="preserve">RSK-15</t>
  </si>
  <si>
    <t xml:space="preserve">Training reuse of claim narratives and adjuster notes rests on Article 6(1)(f), but no Article 21 objection route exists. Separately, narratives routinely name dependants, clinicians, employers and witnesses whose health data is processed with no consent, no notice and no realistic Article 14 route.</t>
  </si>
  <si>
    <t xml:space="preserve">§2.2 GAP-07 · §2.1 third-party data subjects · RoPA P-01, P-03, P-06</t>
  </si>
  <si>
    <t xml:space="preserve">Publish an objection route operable independently of claim submission, wired to corpus-freeze exclusion. Document Article 14(5)(b) disproportionate-effort relief with reasoning recorded. Extend the claimant privacy notice to state plainly that narratives train an automated triage system and what that system does, per Articles 13(2)(f) and 15(1)(h).</t>
  </si>
  <si>
    <t xml:space="preserve">Article 14(5)(b) relief is a judgement a supervisory authority may not share; it reduces the obligation without extinguishing the position that these individuals do not know their data is held. An objection route that exists but is not found is not a safeguard — near-zero uptake should be read as a discoverability failure before it is read as consent by silence.</t>
  </si>
  <si>
    <t xml:space="preserve">RSK-16</t>
  </si>
  <si>
    <t xml:space="preserve">Claim free-text transcripts persist in the intermediate LLM processing cache after the routing decision completes. The DPIA rated the underlying retention risk high-severity but specified no named control, owner, metric or cadence.</t>
  </si>
  <si>
    <t xml:space="preserve">§2.2 GAP-01 · RoPA P-01, P-02</t>
  </si>
  <si>
    <t xml:space="preserve">Purge transcripts from the intermediate cache at session close, and in no case later than 60 minutes after routing dispatch, unless a clinical escalation flag is set — in which case retention extends only until the review decision is recorded. Automated purge with a fail-closed posture.</t>
  </si>
  <si>
    <t xml:space="preserve">Data Engineering Lead</t>
  </si>
  <si>
    <t xml:space="preserve">Transcripts remain fully readable for up to 60 minutes, and longer where escalated. The control shortens exposure rather than removing it. Fail-closed enforcement creates an availability trade-off: a purge-job failure halts new session allocation, producing backlog within minutes on a 4.2m/day system.</t>
  </si>
  <si>
    <t xml:space="preserve">RSK-17</t>
  </si>
  <si>
    <t xml:space="preserve">No technical boundary prevents operational claim data reaching a retraining set outside the governed corpus-freeze process. DPIA Section 4.2 addresses secondary use in general terms with no named control, owner or measurable boundary.</t>
  </si>
  <si>
    <t xml:space="preserve">§2.2 GAP-04 · RoPA P-03, P-06</t>
  </si>
  <si>
    <t xml:space="preserve">Data loss prevention at the pipeline boundary: training environments read operational stores only through the governed corpus-freeze export. Corpus freeze produces a manifest recording every record, the masking pipeline version, and the consent and objection state at freeze time. Withdrawn and objected records excluded at freeze and not restored by any later freeze.</t>
  </si>
  <si>
    <t xml:space="preserve">Lead AI Infrastructure Engineer</t>
  </si>
  <si>
    <t xml:space="preserve">24 July 2026</t>
  </si>
  <si>
    <t xml:space="preserve">Withdrawal and objection propagate at the next corpus freeze, not immediately. A model already trained on a record retains what it learned until the next retrain; machine unlearning is not implemented. Between withdrawal and retrain the decision is honoured in the corpus but not in the deployed model.</t>
  </si>
  <si>
    <t xml:space="preserve">RSK-18</t>
  </si>
  <si>
    <t xml:space="preserve">No signed model bill of materials records library versions, corpus hash or build environment. That v2.4 was compiled on NeuralCore v3.3.2 was established by manual investigation after the advisory published, not by querying an attestation record.</t>
  </si>
  <si>
    <t xml:space="preserve">§3.3 DID-07 (C3.4) · §4.2 CVE response</t>
  </si>
  <si>
    <t xml:space="preserve">Signed SBOM for every model build, recording library versions, corpus manifest hash and build environment, verifiable post-hoc. Generated as part of the RSK-02 retrain pipeline so the replacement model ships with provenance the current one lacks.</t>
  </si>
  <si>
    <t xml:space="preserve">31 August 2026</t>
  </si>
  <si>
    <t xml:space="preserve">Provenance improves response capability for future advisories; it does nothing for exposure already incurred. Until the retrain ships, advisory triage for v2.4 remains manual archaeology under time pressure, and may return no answer at all.</t>
  </si>
  <si>
    <t xml:space="preserve">RSK-19</t>
  </si>
  <si>
    <t xml:space="preserve">Claim narratives foreseeably contain Article 9 categories the deployment never solicits — mental health, pregnancy and maternity, substance use, sexual orientation arising in a related condition, belief-based treatment refusal, union membership in occupational claims. No control targets unsolicited special-category disclosure; the NER pipeline is tuned for direct identifiers.</t>
  </si>
  <si>
    <t xml:space="preserve">§2.1 Article 9 field inventory · RoPA P-01, P-03, P-06</t>
  </si>
  <si>
    <t xml:space="preserve">Extend NER entity types to detect and flag unsolicited special-category disclosure, initially for monitoring rather than suppression so the prevalence is measured before a suppression policy is set. Assess whether suppression degrades triage accuracy on claims where the disclosure is clinically material.</t>
  </si>
  <si>
    <t xml:space="preserve">Suppression and utility conflict directly here: a mental health reference may be the clinically material fact in the claim. Measuring prevalence before setting policy is deliberate — a suppression rule set without it would be guessing at both the privacy benefit and the accuracy cost.</t>
  </si>
  <si>
    <t xml:space="preserve">RSK-20</t>
  </si>
  <si>
    <t xml:space="preserve">Epsilon budget exhausts across successive retrains. The RSK-02 remediation requires an unscheduled full retrain consuming budget outside the planned schedule. Without cumulative accounting the guarantee erodes silently until DP-SGD is present in configuration but meaningless in effect.</t>
  </si>
  <si>
    <t xml:space="preserve">§2.3 R-DEID-05 · §3.3 DID-06 (C3.3) · §4.2 CVE retrain</t>
  </si>
  <si>
    <t xml:space="preserve">Documented epsilon-delta ceiling with cumulative accounting across all training runs including remediation retrains. Governance approval required to exceed. Budget consumption reported alongside model performance at each release.</t>
  </si>
  <si>
    <t xml:space="preserve">Each training run; ceiling documented by 31 July 2026</t>
  </si>
  <si>
    <t xml:space="preserve">The failure mode is silent — nothing breaks when the budget is exhausted, and the control is reporting rather than enforcement. Reaching the ceiling forces a genuine choice between retraining and privacy guarantee that has no technical resolution.</t>
  </si>
  <si>
    <t xml:space="preserve">Total open risks</t>
  </si>
  <si>
    <t xml:space="preserve">TRACEABILITY MATRIX — EVERY UPSTREAM FINDING TO ITS DISPOSITION</t>
  </si>
  <si>
    <t xml:space="preserve">The anti-orphan control. Read left to right, no finding from Phases 2-4 lacks a disposition. Read right to left, no risk lacks an upstream source.</t>
  </si>
  <si>
    <t xml:space="preserve">Upstream Finding</t>
  </si>
  <si>
    <t xml:space="preserve">Phase / Section</t>
  </si>
  <si>
    <t xml:space="preserve">Severity or Type</t>
  </si>
  <si>
    <t xml:space="preserve">Disposition</t>
  </si>
  <si>
    <t xml:space="preserve">Where It Lands</t>
  </si>
  <si>
    <t xml:space="preserve">GAP-01 Transcript cache retention</t>
  </si>
  <si>
    <t xml:space="preserve">Phase 2 · §2.2</t>
  </si>
  <si>
    <t xml:space="preserve">Present-but-Weak</t>
  </si>
  <si>
    <t xml:space="preserve">OPEN</t>
  </si>
  <si>
    <t xml:space="preserve">RSK-16 (MEDIUM), Data Engineering Lead, 17 July</t>
  </si>
  <si>
    <t xml:space="preserve">GAP-02 Corpus crossing trust boundary</t>
  </si>
  <si>
    <t xml:space="preserve">True Gap</t>
  </si>
  <si>
    <t xml:space="preserve">RSK-07 (HIGH), Principal AI Architect / Lead DPO</t>
  </si>
  <si>
    <t xml:space="preserve">GAP-03 Review queue access control</t>
  </si>
  <si>
    <t xml:space="preserve">RSK-11 (HIGH), CISO, 31 July</t>
  </si>
  <si>
    <t xml:space="preserve">GAP-04 Purpose limitation enforcement</t>
  </si>
  <si>
    <t xml:space="preserve">RSK-17 (MEDIUM), Lead AI Infrastructure Engineer, 24 July</t>
  </si>
  <si>
    <t xml:space="preserve">GAP-05 Human review unevidenced</t>
  </si>
  <si>
    <t xml:space="preserve">RSK-04 (CRITICAL), AI Governance Lead, 17 July</t>
  </si>
  <si>
    <t xml:space="preserve">GAP-06 No Chapter V determination</t>
  </si>
  <si>
    <t xml:space="preserve">RSK-08 (HIGH), Lead DPO, 17 July</t>
  </si>
  <si>
    <t xml:space="preserve">GAP-07 No objection route / Art 14 notice</t>
  </si>
  <si>
    <t xml:space="preserve">RSK-15 (HIGH), Lead DPO, 31 July</t>
  </si>
  <si>
    <t xml:space="preserve">R-DEID-01 Semantic re-identification</t>
  </si>
  <si>
    <t xml:space="preserve">Phase 2 · §2.3</t>
  </si>
  <si>
    <t xml:space="preserve">Medium residual</t>
  </si>
  <si>
    <t xml:space="preserve">RSK-12 (MEDIUM), Lead DPO, each corpus freeze</t>
  </si>
  <si>
    <t xml:space="preserve">R-DEID-02 Long-tail fairness degradation</t>
  </si>
  <si>
    <t xml:space="preserve">RSK-14 (MEDIUM), Principal AI Architect, each release</t>
  </si>
  <si>
    <t xml:space="preserve">R-DEID-03 NER false negatives</t>
  </si>
  <si>
    <t xml:space="preserve">RSK-13 (MEDIUM), Principal AI Architect, each freeze</t>
  </si>
  <si>
    <t xml:space="preserve">R-DEID-04 Corpus remains personal data</t>
  </si>
  <si>
    <t xml:space="preserve">Folded into RSK-07 residual — the reason Art 28 and Chapter V carry the load</t>
  </si>
  <si>
    <t xml:space="preserve">R-DEID-05 Epsilon budget exhaustion</t>
  </si>
  <si>
    <t xml:space="preserve">Low-Medium residual</t>
  </si>
  <si>
    <t xml:space="preserve">RSK-20 (MEDIUM), Principal AI Architect, each training run</t>
  </si>
  <si>
    <t xml:space="preserve">Unsolicited Art 9 in free text</t>
  </si>
  <si>
    <t xml:space="preserve">Phase 2 · §2.1</t>
  </si>
  <si>
    <t xml:space="preserve">New finding</t>
  </si>
  <si>
    <t xml:space="preserve">RSK-19 (MEDIUM), Lead DPO, 31 August</t>
  </si>
  <si>
    <t xml:space="preserve">Third-party data subjects in narratives</t>
  </si>
  <si>
    <t xml:space="preserve">Folded into RSK-15 — Art 14(5)(b) relief must be documented</t>
  </si>
  <si>
    <t xml:space="preserve">Art 9 misclassification (3 records)</t>
  </si>
  <si>
    <t xml:space="preserve">Correction</t>
  </si>
  <si>
    <t xml:space="preserve">CLOSED</t>
  </si>
  <si>
    <t xml:space="preserve">Corrected in the RoPA before submission. P-01, P-05, P-06 reclassified to Article 9 with reasoning recorded in the Lawful Basis worksheet.</t>
  </si>
  <si>
    <t xml:space="preserve">Art 30(1)(a)(e)(g) omissions</t>
  </si>
  <si>
    <t xml:space="preserve">Three columns added to the RoPA. Security-measures column records applied controls and known deficiencies.</t>
  </si>
  <si>
    <t xml:space="preserve">Six unregistered processing activities</t>
  </si>
  <si>
    <t xml:space="preserve">Registered as P-02, P-03, P-07, P-08, P-09, P-10. Register now covers ten activities.</t>
  </si>
  <si>
    <t xml:space="preserve">DP-SGD pointed at the wrong object</t>
  </si>
  <si>
    <t xml:space="preserve">Control re-pointed at GAP-02: NER masking protects the export, DP-SGD protects the model. Implementation tracked at RSK-07 and RSK-09.</t>
  </si>
  <si>
    <t xml:space="preserve">EDPB anonymisation overclaim</t>
  </si>
  <si>
    <t xml:space="preserve">Removed. §2.3 now states the corpus remains personal data under Art 4(5). The claim would not have survived challenge.</t>
  </si>
  <si>
    <t xml:space="preserve">ADV-01 Obfuscated narrative injection</t>
  </si>
  <si>
    <t xml:space="preserve">Phase 3 · §3.2</t>
  </si>
  <si>
    <t xml:space="preserve">RSK-05 (HIGH), Principal AI Engineer, 6 July (72h)</t>
  </si>
  <si>
    <t xml:space="preserve">ADV-02 RAG channel injection</t>
  </si>
  <si>
    <t xml:space="preserve">Split by surface: read side RSK-06 (AS-03), write side RSK-10 (AS-05). Two controls, two risks.</t>
  </si>
  <si>
    <t xml:space="preserve">ADV-03 Output token hijacking</t>
  </si>
  <si>
    <t xml:space="preserve">RSK-01 (CRITICAL), Application Security Lead, 4 July (24h)</t>
  </si>
  <si>
    <t xml:space="preserve">HP-01 Output schema sanitisation</t>
  </si>
  <si>
    <t xml:space="preserve">Phase 3 · §3.3</t>
  </si>
  <si>
    <t xml:space="preserve">CRITICAL priority</t>
  </si>
  <si>
    <t xml:space="preserve">HP-02 Input guardrails</t>
  </si>
  <si>
    <t xml:space="preserve">HIGH priority</t>
  </si>
  <si>
    <t xml:space="preserve">HP-03 Context encapsulation</t>
  </si>
  <si>
    <t xml:space="preserve">RSK-06, with signed acceptance for the 4-day SLA excess</t>
  </si>
  <si>
    <t xml:space="preserve">DID-01 (C2.4) Encapsulation absent</t>
  </si>
  <si>
    <t xml:space="preserve">Phase 3 · §3.4</t>
  </si>
  <si>
    <t xml:space="preserve">DID-02 (C2.2) No output validation</t>
  </si>
  <si>
    <t xml:space="preserve">DID-03 (C1.3) No LLM WAF rules</t>
  </si>
  <si>
    <t xml:space="preserve">DID-04 (C3.1) No ingestion hashing</t>
  </si>
  <si>
    <t xml:space="preserve">RSK-10 (HIGH), Principal AI Architect, 24 July — before retrain corpus assembly</t>
  </si>
  <si>
    <t xml:space="preserve">DID-05 (C2.5) No routing integrity</t>
  </si>
  <si>
    <t xml:space="preserve">RSK-01, and the evidential control for RSK-04</t>
  </si>
  <si>
    <t xml:space="preserve">DID-06 (C3.3) No DP-SGD</t>
  </si>
  <si>
    <t xml:space="preserve">RSK-09 (HIGH), Principal AI Architect, 31 July with the retrain</t>
  </si>
  <si>
    <t xml:space="preserve">DID-07 (C3.4) No provenance SBOM</t>
  </si>
  <si>
    <t xml:space="preserve">RSK-18 (MEDIUM), Lead AI Infrastructure Engineer, 31 August</t>
  </si>
  <si>
    <t xml:space="preserve">DID-08 (C1.1) Rate limiting inadequate</t>
  </si>
  <si>
    <t xml:space="preserve">DID-09 (C2.1) Keyword blacklist only</t>
  </si>
  <si>
    <t xml:space="preserve">C2.2 status contradiction</t>
  </si>
  <si>
    <t xml:space="preserve">Corrected to Non-Compliant on three-way corroboration. Compliance score restated 55.6% to 25.0%.</t>
  </si>
  <si>
    <t xml:space="preserve">AS-02 and AS-05 missing from map</t>
  </si>
  <si>
    <t xml:space="preserve">Phase 3 · §3.1</t>
  </si>
  <si>
    <t xml:space="preserve">Both restored. AS-05 separated from AS-03, resolving the conflation that left the training pipeline without a surface.</t>
  </si>
  <si>
    <t xml:space="preserve">CVE-2025-XXXX</t>
  </si>
  <si>
    <t xml:space="preserve">Phase 4 · §4.2</t>
  </si>
  <si>
    <t xml:space="preserve">RSK-02 (CRITICAL), Director of AI Production Infrastructure Operations. MANDATORY named risk — the package fails traceability without it.</t>
  </si>
  <si>
    <t xml:space="preserve">No Art 33 breach assessment</t>
  </si>
  <si>
    <t xml:space="preserve">Phase 4 · §4.1</t>
  </si>
  <si>
    <t xml:space="preserve">RSK-03 (CRITICAL), Lead DPO, 6 July (72h). The 72-hour clock has already run.</t>
  </si>
  <si>
    <t xml:space="preserve">MDC-2026-8891 control failures</t>
  </si>
  <si>
    <t xml:space="preserve">RSK-05 — rate limiting never applied to the effective traffic; WAF absent.</t>
  </si>
  <si>
    <t xml:space="preserve">Hybrid path risk acceptance</t>
  </si>
  <si>
    <t xml:space="preserve">Accepted exposure</t>
  </si>
  <si>
    <t xml:space="preserve">RSK-02 residual. $7.67-10.23bn exposure scope, signed by three named officers.</t>
  </si>
  <si>
    <t xml:space="preserve">Inherited compensating control unworkable</t>
  </si>
  <si>
    <t xml:space="preserve">Replaced with CC-1 shadow comparator, CC-2 distribution monitoring, CC-3 review sampling, CC-4 forward closure. A filter cannot block an unenumerable pattern.</t>
  </si>
  <si>
    <t xml:space="preserve">Rollback trigger self-defeating (92.5%)</t>
  </si>
  <si>
    <t xml:space="preserve">Corrected to 89.5%, below the rollback target's 90.4% so reverting does not re-trigger.</t>
  </si>
  <si>
    <t xml:space="preserve">Rollback had no CVE-detecting trigger</t>
  </si>
  <si>
    <t xml:space="preserve">Trigger 3 added: shadow comparator divergence. The only trigger capable of detecting a targeted backdoor.</t>
  </si>
  <si>
    <t xml:space="preserve">Rollback 24-hour cap unworkable</t>
  </si>
  <si>
    <t xml:space="preserve">Escalation path defined in MHP-OPSC-RECOVERY-v2 §5 for any rollback persisting beyond 24 hours.</t>
  </si>
  <si>
    <t xml:space="preserve">Wrong CVE in two artifacts</t>
  </si>
  <si>
    <t xml:space="preserve">CVE-2026-38291 withdrawn from the package. Matrix and rollback plan rewritten against CVE-2025-XXXX.</t>
  </si>
  <si>
    <t xml:space="preserve">Matrix recommended a non-winning strategy</t>
  </si>
  <si>
    <t xml:space="preserve">Rescored for training-time exposure. Hybrid now scores highest at 3.90, and a mandatory gate test excludes patch-only regardless of rank.</t>
  </si>
  <si>
    <t xml:space="preserve">Upstream findings tracked</t>
  </si>
  <si>
    <t xml:space="preserve">Open</t>
  </si>
  <si>
    <t xml:space="preserve">Closed by correction during this review</t>
  </si>
  <si>
    <t xml:space="preserve">Orphan findings (no disposition)</t>
  </si>
  <si>
    <t xml:space="preserve">Orphan count is asserted as zero and is verifiable by inspection: every row above carries a disposition, and every RSK on the Risk Disposition sheet cites at least one row here. Phase 6 re-tests this in both directions rather than accepting the assertion.</t>
  </si>
  <si>
    <t xml:space="preserve">OPEN DETERMINATIONS — FACTS THE PACKAGE CANNOT SUPPLY</t>
  </si>
  <si>
    <t xml:space="preserve">Not risks. Unknowns. Recorded as unresolved rather than assumed, because an assumed answer that proves wrong is worse than a declared gap.</t>
  </si>
  <si>
    <t xml:space="preserve">Ref</t>
  </si>
  <si>
    <t xml:space="preserve">Question</t>
  </si>
  <si>
    <t xml:space="preserve">Owner</t>
  </si>
  <si>
    <t xml:space="preserve">Due</t>
  </si>
  <si>
    <t xml:space="preserve">Bears On</t>
  </si>
  <si>
    <t xml:space="preserve">If Unresolved at Audit</t>
  </si>
  <si>
    <t xml:space="preserve">OD-01</t>
  </si>
  <si>
    <t xml:space="preserve">Main establishment and lead supervisory authority</t>
  </si>
  <si>
    <t xml:space="preserve">Art 9(2)(g) basis for 8 of 10 records; Art 56 routing</t>
  </si>
  <si>
    <t xml:space="preserve">Article 9(2)(g) is not self-executing — it requires a named Member State provision and an appropriate policy document. Unresolved, the condition relied on for most of the register is unsupported.</t>
  </si>
  <si>
    <t xml:space="preserve">OD-02</t>
  </si>
  <si>
    <t xml:space="preserve">Country of establishment of NovaTriage Analytics Ltd.</t>
  </si>
  <si>
    <t xml:space="preserve">10 July 2026</t>
  </si>
  <si>
    <t xml:space="preserve">RSK-07, RSK-08; corpus export</t>
  </si>
  <si>
    <t xml:space="preserve">Corpus export stays suspended. This single unknown decides whether Chapter V applies at all, and it delays the RSK-02 retrain.</t>
  </si>
  <si>
    <t xml:space="preserve">OD-03</t>
  </si>
  <si>
    <t xml:space="preserve">Measured human review rate, override rate, reviewer authority</t>
  </si>
  <si>
    <t xml:space="preserve">RSK-04 — and the audit verdict</t>
  </si>
  <si>
    <t xml:space="preserve">THE VERDICT-DETERMINING ITEM. Unresolved, the deployment cannot demonstrate the lawfulness of its own processing. An adverse answer converts the recommendation to a pause.</t>
  </si>
  <si>
    <t xml:space="preserve">OD-04</t>
  </si>
  <si>
    <t xml:space="preserve">Azure region and Microsoft sub-processor chain</t>
  </si>
  <si>
    <t xml:space="preserve">RSK-08; RoPA P-09</t>
  </si>
  <si>
    <t xml:space="preserve">Telemetry derived from Article 9 narratives, including embedding vectors, flows through an unenumerated chain. A transfer route easy to overlook because monitoring is not usually thought of as a transfer.</t>
  </si>
  <si>
    <t xml:space="preserve">OD-05</t>
  </si>
  <si>
    <t xml:space="preserve">Identity of the non-EU jurisdictions</t>
  </si>
  <si>
    <t xml:space="preserve">Regime mapping</t>
  </si>
  <si>
    <t xml:space="preserve">The register cannot claim completeness for non-EU processing.</t>
  </si>
  <si>
    <t xml:space="preserve">OD-06</t>
  </si>
  <si>
    <t xml:space="preserve">AI Act Annex III negative determination documented</t>
  </si>
  <si>
    <t xml:space="preserve">Scoped out of this package</t>
  </si>
  <si>
    <t xml:space="preserve">Annex III 5(c) covers pricing and 5(d) covers emergency patient triage — neither squarely applies. But a system that determines clinical gravity will attract the question, and silence reads as oversight.</t>
  </si>
  <si>
    <t xml:space="preserve">OD-07</t>
  </si>
  <si>
    <t xml:space="preserve">Is ethnicity a model input feature or a monitoring dimension?</t>
  </si>
  <si>
    <t xml:space="preserve">AI Governance Lead / Principal AI Architect</t>
  </si>
  <si>
    <t xml:space="preserve">RSK-14; RoPA P-04</t>
  </si>
  <si>
    <t xml:space="preserve">If an input feature, the deployment carries direct discrimination risk under Art 5(1)(a) and engages Art 22(4) on a special-category input. If monitoring only, it is a fairness safeguard and a point in the deployment's favour. The two cannot both stand.</t>
  </si>
  <si>
    <t xml:space="preserve">OD-08</t>
  </si>
  <si>
    <t xml:space="preserve">Was MDC-2026-8891 authorised red-team traffic?</t>
  </si>
  <si>
    <t xml:space="preserve">SecOps Incident Commander</t>
  </si>
  <si>
    <t xml:space="preserve">6 July 2026</t>
  </si>
  <si>
    <t xml:space="preserve">Must be answered before the Article 33 assessment concludes. If it was the red team, the incident is not an incident. If it was not, an unknown actor probed the same weaknesses in the same period.</t>
  </si>
  <si>
    <t xml:space="preserve">OD-09</t>
  </si>
  <si>
    <t xml:space="preserve">Full 90-day alert inventory and volume baseline</t>
  </si>
  <si>
    <t xml:space="preserve">RSK-03, RSK-05</t>
  </si>
  <si>
    <t xml:space="preserve">One alert is documented for a 90-day window. Without the baseline, a one-off and the visible instance of a sustained pattern look identical.</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</si>
</sst>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9"/>
      <color rgb="FFFFFFFF"/>
      <name val="Arial"/>
      <family val="0"/>
      <charset val="1"/>
    </font>
    <font>
      <b val="true"/>
      <sz val="10"/>
      <color rgb="FF1F3864"/>
      <name val="Arial"/>
      <family val="0"/>
      <charset val="1"/>
    </font>
    <font>
      <b val="true"/>
      <sz val="9"/>
      <color rgb="FFC00000"/>
      <name val="Arial"/>
      <family val="0"/>
      <charset val="1"/>
    </font>
    <font>
      <sz val="8"/>
      <name val="Arial"/>
      <family val="0"/>
      <charset val="1"/>
    </font>
    <font>
      <b val="true"/>
      <sz val="8"/>
      <name val="Arial"/>
      <family val="0"/>
      <charset val="1"/>
    </font>
    <font>
      <b val="true"/>
      <sz val="8"/>
      <color rgb="FFC00000"/>
      <name val="Arial"/>
      <family val="0"/>
      <charset val="1"/>
    </font>
    <font>
      <b val="true"/>
      <sz val="9"/>
      <color rgb="FF833C00"/>
      <name val="Arial"/>
      <family val="0"/>
      <charset val="1"/>
    </font>
    <font>
      <b val="true"/>
      <sz val="9"/>
      <color rgb="FF1F3864"/>
      <name val="Arial"/>
      <family val="0"/>
      <charset val="1"/>
    </font>
    <font>
      <b val="true"/>
      <sz val="9"/>
      <name val="Arial"/>
      <family val="0"/>
      <charset val="1"/>
    </font>
    <font>
      <b val="true"/>
      <sz val="11"/>
      <color rgb="FFC00000"/>
      <name val="Arial"/>
      <family val="0"/>
      <charset val="1"/>
    </font>
    <font>
      <b val="true"/>
      <sz val="8"/>
      <color rgb="FF1F3864"/>
      <name val="Arial"/>
      <family val="0"/>
      <charset val="1"/>
    </font>
    <font>
      <b val="true"/>
      <sz val="9"/>
      <color rgb="FF1F6B3B"/>
      <name val="Arial"/>
      <family val="0"/>
      <charset val="1"/>
    </font>
    <font>
      <i val="true"/>
      <sz val="8"/>
      <color rgb="FF833C00"/>
      <name val="Arial"/>
      <family val="0"/>
      <charset val="1"/>
    </font>
  </fonts>
  <fills count="8">
    <fill>
      <patternFill patternType="none"/>
    </fill>
    <fill>
      <patternFill patternType="gray125"/>
    </fill>
    <fill>
      <patternFill patternType="solid">
        <fgColor rgb="FF2E5496"/>
        <bgColor rgb="FF1F3864"/>
      </patternFill>
    </fill>
    <fill>
      <patternFill patternType="solid">
        <fgColor rgb="FFFBE4E4"/>
        <bgColor rgb="FFFDF2F2"/>
      </patternFill>
    </fill>
    <fill>
      <patternFill patternType="solid">
        <fgColor rgb="FFFDF2F2"/>
        <bgColor rgb="FFFFFFFF"/>
      </patternFill>
    </fill>
    <fill>
      <patternFill patternType="solid">
        <fgColor rgb="FFFFF2CC"/>
        <bgColor rgb="FFFDF2F2"/>
      </patternFill>
    </fill>
    <fill>
      <patternFill patternType="solid">
        <fgColor rgb="FFD9E2F3"/>
        <bgColor rgb="FFE2EFDA"/>
      </patternFill>
    </fill>
    <fill>
      <patternFill patternType="solid">
        <fgColor rgb="FFE2EFDA"/>
        <bgColor rgb="FFD9E2F3"/>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6B3B"/>
      <rgbColor rgb="FF000080"/>
      <rgbColor rgb="FF808000"/>
      <rgbColor rgb="FF800080"/>
      <rgbColor rgb="FF008080"/>
      <rgbColor rgb="FFC0C0C0"/>
      <rgbColor rgb="FF808080"/>
      <rgbColor rgb="FF9999FF"/>
      <rgbColor rgb="FF993366"/>
      <rgbColor rgb="FFFFF2CC"/>
      <rgbColor rgb="FFFD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833C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44"/>
    <col collapsed="false" customWidth="true" hidden="false" outlineLevel="0" max="4" min="4" style="0" width="30"/>
    <col collapsed="false" customWidth="true" hidden="false" outlineLevel="0" max="5" min="5" style="0" width="50"/>
    <col collapsed="false" customWidth="true" hidden="false" outlineLevel="0" max="6" min="6" style="0" width="30"/>
    <col collapsed="false" customWidth="true" hidden="false" outlineLevel="0" max="7" min="7" style="0" width="15"/>
    <col collapsed="false" customWidth="true" hidden="false" outlineLevel="0" max="8" min="8" style="0" width="44"/>
  </cols>
  <sheetData>
    <row r="1" customFormat="false" ht="17.35" hidden="false" customHeight="false" outlineLevel="0" collapsed="false">
      <c r="A1" s="1" t="s">
        <v>0</v>
      </c>
    </row>
    <row r="2" customFormat="false" ht="25.5" hidden="false" customHeight="tru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row>
    <row r="5" customFormat="false" ht="184.5" hidden="false" customHeight="true" outlineLevel="0" collapsed="false">
      <c r="A5" s="4" t="s">
        <v>10</v>
      </c>
      <c r="B5" s="5" t="s">
        <v>11</v>
      </c>
      <c r="C5" s="6" t="s">
        <v>12</v>
      </c>
      <c r="D5" s="6" t="s">
        <v>13</v>
      </c>
      <c r="E5" s="6" t="s">
        <v>14</v>
      </c>
      <c r="F5" s="7" t="s">
        <v>15</v>
      </c>
      <c r="G5" s="8" t="s">
        <v>16</v>
      </c>
      <c r="H5" s="9" t="s">
        <v>17</v>
      </c>
    </row>
    <row r="6" customFormat="false" ht="184.5" hidden="false" customHeight="true" outlineLevel="0" collapsed="false">
      <c r="A6" s="4" t="s">
        <v>18</v>
      </c>
      <c r="B6" s="5" t="s">
        <v>11</v>
      </c>
      <c r="C6" s="6" t="s">
        <v>19</v>
      </c>
      <c r="D6" s="6" t="s">
        <v>20</v>
      </c>
      <c r="E6" s="6" t="s">
        <v>21</v>
      </c>
      <c r="F6" s="7" t="s">
        <v>22</v>
      </c>
      <c r="G6" s="8" t="s">
        <v>23</v>
      </c>
      <c r="H6" s="9" t="s">
        <v>24</v>
      </c>
    </row>
    <row r="7" customFormat="false" ht="184.5" hidden="false" customHeight="true" outlineLevel="0" collapsed="false">
      <c r="A7" s="4" t="s">
        <v>25</v>
      </c>
      <c r="B7" s="5" t="s">
        <v>11</v>
      </c>
      <c r="C7" s="6" t="s">
        <v>26</v>
      </c>
      <c r="D7" s="6" t="s">
        <v>27</v>
      </c>
      <c r="E7" s="6" t="s">
        <v>28</v>
      </c>
      <c r="F7" s="7" t="s">
        <v>29</v>
      </c>
      <c r="G7" s="8" t="s">
        <v>30</v>
      </c>
      <c r="H7" s="9" t="s">
        <v>31</v>
      </c>
    </row>
    <row r="8" customFormat="false" ht="184.5" hidden="false" customHeight="true" outlineLevel="0" collapsed="false">
      <c r="A8" s="4" t="s">
        <v>32</v>
      </c>
      <c r="B8" s="5" t="s">
        <v>11</v>
      </c>
      <c r="C8" s="6" t="s">
        <v>33</v>
      </c>
      <c r="D8" s="6" t="s">
        <v>34</v>
      </c>
      <c r="E8" s="6" t="s">
        <v>35</v>
      </c>
      <c r="F8" s="7" t="s">
        <v>36</v>
      </c>
      <c r="G8" s="8" t="s">
        <v>37</v>
      </c>
      <c r="H8" s="9" t="s">
        <v>38</v>
      </c>
    </row>
    <row r="9" customFormat="false" ht="184.5" hidden="false" customHeight="true" outlineLevel="0" collapsed="false">
      <c r="A9" s="4" t="s">
        <v>39</v>
      </c>
      <c r="B9" s="10" t="s">
        <v>40</v>
      </c>
      <c r="C9" s="6" t="s">
        <v>41</v>
      </c>
      <c r="D9" s="6" t="s">
        <v>42</v>
      </c>
      <c r="E9" s="6" t="s">
        <v>43</v>
      </c>
      <c r="F9" s="7" t="s">
        <v>44</v>
      </c>
      <c r="G9" s="8" t="s">
        <v>30</v>
      </c>
      <c r="H9" s="9" t="s">
        <v>45</v>
      </c>
    </row>
    <row r="10" customFormat="false" ht="184.5" hidden="false" customHeight="true" outlineLevel="0" collapsed="false">
      <c r="A10" s="4" t="s">
        <v>46</v>
      </c>
      <c r="B10" s="10" t="s">
        <v>40</v>
      </c>
      <c r="C10" s="6" t="s">
        <v>47</v>
      </c>
      <c r="D10" s="6" t="s">
        <v>48</v>
      </c>
      <c r="E10" s="6" t="s">
        <v>49</v>
      </c>
      <c r="F10" s="7" t="s">
        <v>44</v>
      </c>
      <c r="G10" s="8" t="s">
        <v>50</v>
      </c>
      <c r="H10" s="9" t="s">
        <v>51</v>
      </c>
    </row>
    <row r="11" customFormat="false" ht="184.5" hidden="false" customHeight="true" outlineLevel="0" collapsed="false">
      <c r="A11" s="4" t="s">
        <v>52</v>
      </c>
      <c r="B11" s="10" t="s">
        <v>40</v>
      </c>
      <c r="C11" s="6" t="s">
        <v>53</v>
      </c>
      <c r="D11" s="6" t="s">
        <v>54</v>
      </c>
      <c r="E11" s="6" t="s">
        <v>55</v>
      </c>
      <c r="F11" s="7" t="s">
        <v>56</v>
      </c>
      <c r="G11" s="8" t="s">
        <v>57</v>
      </c>
      <c r="H11" s="9" t="s">
        <v>58</v>
      </c>
    </row>
    <row r="12" customFormat="false" ht="184.5" hidden="false" customHeight="true" outlineLevel="0" collapsed="false">
      <c r="A12" s="4" t="s">
        <v>59</v>
      </c>
      <c r="B12" s="10" t="s">
        <v>40</v>
      </c>
      <c r="C12" s="6" t="s">
        <v>60</v>
      </c>
      <c r="D12" s="6" t="s">
        <v>61</v>
      </c>
      <c r="E12" s="6" t="s">
        <v>62</v>
      </c>
      <c r="F12" s="7" t="s">
        <v>29</v>
      </c>
      <c r="G12" s="8" t="s">
        <v>63</v>
      </c>
      <c r="H12" s="9" t="s">
        <v>64</v>
      </c>
    </row>
    <row r="13" customFormat="false" ht="184.5" hidden="false" customHeight="true" outlineLevel="0" collapsed="false">
      <c r="A13" s="4" t="s">
        <v>65</v>
      </c>
      <c r="B13" s="10" t="s">
        <v>40</v>
      </c>
      <c r="C13" s="6" t="s">
        <v>66</v>
      </c>
      <c r="D13" s="6" t="s">
        <v>67</v>
      </c>
      <c r="E13" s="6" t="s">
        <v>68</v>
      </c>
      <c r="F13" s="7" t="s">
        <v>69</v>
      </c>
      <c r="G13" s="8" t="s">
        <v>70</v>
      </c>
      <c r="H13" s="9" t="s">
        <v>71</v>
      </c>
    </row>
    <row r="14" customFormat="false" ht="184.5" hidden="false" customHeight="true" outlineLevel="0" collapsed="false">
      <c r="A14" s="4" t="s">
        <v>72</v>
      </c>
      <c r="B14" s="10" t="s">
        <v>40</v>
      </c>
      <c r="C14" s="6" t="s">
        <v>73</v>
      </c>
      <c r="D14" s="6" t="s">
        <v>74</v>
      </c>
      <c r="E14" s="6" t="s">
        <v>75</v>
      </c>
      <c r="F14" s="7" t="s">
        <v>69</v>
      </c>
      <c r="G14" s="8" t="s">
        <v>76</v>
      </c>
      <c r="H14" s="9" t="s">
        <v>77</v>
      </c>
    </row>
    <row r="15" customFormat="false" ht="184.5" hidden="false" customHeight="true" outlineLevel="0" collapsed="false">
      <c r="A15" s="4" t="s">
        <v>78</v>
      </c>
      <c r="B15" s="10" t="s">
        <v>40</v>
      </c>
      <c r="C15" s="6" t="s">
        <v>79</v>
      </c>
      <c r="D15" s="6" t="s">
        <v>80</v>
      </c>
      <c r="E15" s="6" t="s">
        <v>81</v>
      </c>
      <c r="F15" s="7" t="s">
        <v>82</v>
      </c>
      <c r="G15" s="8" t="s">
        <v>83</v>
      </c>
      <c r="H15" s="9" t="s">
        <v>84</v>
      </c>
    </row>
    <row r="16" customFormat="false" ht="184.5" hidden="false" customHeight="true" outlineLevel="0" collapsed="false">
      <c r="A16" s="4" t="s">
        <v>85</v>
      </c>
      <c r="B16" s="11" t="s">
        <v>86</v>
      </c>
      <c r="C16" s="6" t="s">
        <v>87</v>
      </c>
      <c r="D16" s="6" t="s">
        <v>88</v>
      </c>
      <c r="E16" s="6" t="s">
        <v>89</v>
      </c>
      <c r="F16" s="7" t="s">
        <v>29</v>
      </c>
      <c r="G16" s="8" t="s">
        <v>90</v>
      </c>
      <c r="H16" s="9" t="s">
        <v>91</v>
      </c>
    </row>
    <row r="17" customFormat="false" ht="184.5" hidden="false" customHeight="true" outlineLevel="0" collapsed="false">
      <c r="A17" s="4" t="s">
        <v>92</v>
      </c>
      <c r="B17" s="11" t="s">
        <v>86</v>
      </c>
      <c r="C17" s="6" t="s">
        <v>93</v>
      </c>
      <c r="D17" s="6" t="s">
        <v>94</v>
      </c>
      <c r="E17" s="6" t="s">
        <v>95</v>
      </c>
      <c r="F17" s="7" t="s">
        <v>69</v>
      </c>
      <c r="G17" s="8" t="s">
        <v>96</v>
      </c>
      <c r="H17" s="9" t="s">
        <v>97</v>
      </c>
    </row>
    <row r="18" customFormat="false" ht="184.5" hidden="false" customHeight="true" outlineLevel="0" collapsed="false">
      <c r="A18" s="4" t="s">
        <v>98</v>
      </c>
      <c r="B18" s="11" t="s">
        <v>86</v>
      </c>
      <c r="C18" s="6" t="s">
        <v>99</v>
      </c>
      <c r="D18" s="6" t="s">
        <v>100</v>
      </c>
      <c r="E18" s="6" t="s">
        <v>101</v>
      </c>
      <c r="F18" s="7" t="s">
        <v>69</v>
      </c>
      <c r="G18" s="8" t="s">
        <v>102</v>
      </c>
      <c r="H18" s="9" t="s">
        <v>103</v>
      </c>
    </row>
    <row r="19" customFormat="false" ht="184.5" hidden="false" customHeight="true" outlineLevel="0" collapsed="false">
      <c r="A19" s="4" t="s">
        <v>104</v>
      </c>
      <c r="B19" s="10" t="s">
        <v>40</v>
      </c>
      <c r="C19" s="6" t="s">
        <v>105</v>
      </c>
      <c r="D19" s="6" t="s">
        <v>106</v>
      </c>
      <c r="E19" s="6" t="s">
        <v>107</v>
      </c>
      <c r="F19" s="7" t="s">
        <v>29</v>
      </c>
      <c r="G19" s="8" t="s">
        <v>83</v>
      </c>
      <c r="H19" s="9" t="s">
        <v>108</v>
      </c>
    </row>
    <row r="20" customFormat="false" ht="184.5" hidden="false" customHeight="true" outlineLevel="0" collapsed="false">
      <c r="A20" s="4" t="s">
        <v>109</v>
      </c>
      <c r="B20" s="11" t="s">
        <v>86</v>
      </c>
      <c r="C20" s="6" t="s">
        <v>110</v>
      </c>
      <c r="D20" s="6" t="s">
        <v>111</v>
      </c>
      <c r="E20" s="6" t="s">
        <v>112</v>
      </c>
      <c r="F20" s="7" t="s">
        <v>113</v>
      </c>
      <c r="G20" s="8" t="s">
        <v>63</v>
      </c>
      <c r="H20" s="9" t="s">
        <v>114</v>
      </c>
    </row>
    <row r="21" customFormat="false" ht="184.5" hidden="false" customHeight="true" outlineLevel="0" collapsed="false">
      <c r="A21" s="4" t="s">
        <v>115</v>
      </c>
      <c r="B21" s="11" t="s">
        <v>86</v>
      </c>
      <c r="C21" s="6" t="s">
        <v>116</v>
      </c>
      <c r="D21" s="6" t="s">
        <v>117</v>
      </c>
      <c r="E21" s="6" t="s">
        <v>118</v>
      </c>
      <c r="F21" s="7" t="s">
        <v>119</v>
      </c>
      <c r="G21" s="8" t="s">
        <v>120</v>
      </c>
      <c r="H21" s="9" t="s">
        <v>121</v>
      </c>
    </row>
    <row r="22" customFormat="false" ht="184.5" hidden="false" customHeight="true" outlineLevel="0" collapsed="false">
      <c r="A22" s="4" t="s">
        <v>122</v>
      </c>
      <c r="B22" s="11" t="s">
        <v>86</v>
      </c>
      <c r="C22" s="6" t="s">
        <v>123</v>
      </c>
      <c r="D22" s="6" t="s">
        <v>124</v>
      </c>
      <c r="E22" s="6" t="s">
        <v>125</v>
      </c>
      <c r="F22" s="7" t="s">
        <v>119</v>
      </c>
      <c r="G22" s="8" t="s">
        <v>126</v>
      </c>
      <c r="H22" s="9" t="s">
        <v>127</v>
      </c>
    </row>
    <row r="23" customFormat="false" ht="184.5" hidden="false" customHeight="true" outlineLevel="0" collapsed="false">
      <c r="A23" s="4" t="s">
        <v>128</v>
      </c>
      <c r="B23" s="11" t="s">
        <v>86</v>
      </c>
      <c r="C23" s="6" t="s">
        <v>129</v>
      </c>
      <c r="D23" s="6" t="s">
        <v>130</v>
      </c>
      <c r="E23" s="6" t="s">
        <v>131</v>
      </c>
      <c r="F23" s="7" t="s">
        <v>29</v>
      </c>
      <c r="G23" s="8" t="s">
        <v>126</v>
      </c>
      <c r="H23" s="9" t="s">
        <v>132</v>
      </c>
    </row>
    <row r="24" customFormat="false" ht="184.5" hidden="false" customHeight="true" outlineLevel="0" collapsed="false">
      <c r="A24" s="4" t="s">
        <v>133</v>
      </c>
      <c r="B24" s="11" t="s">
        <v>86</v>
      </c>
      <c r="C24" s="6" t="s">
        <v>134</v>
      </c>
      <c r="D24" s="6" t="s">
        <v>135</v>
      </c>
      <c r="E24" s="6" t="s">
        <v>136</v>
      </c>
      <c r="F24" s="7" t="s">
        <v>69</v>
      </c>
      <c r="G24" s="8" t="s">
        <v>137</v>
      </c>
      <c r="H24" s="9" t="s">
        <v>138</v>
      </c>
    </row>
    <row r="26" customFormat="false" ht="15" hidden="false" customHeight="false" outlineLevel="0" collapsed="false">
      <c r="A26" s="12" t="s">
        <v>139</v>
      </c>
      <c r="B26" s="13" t="n">
        <f aca="false">COUNTA(A5:A24)</f>
        <v>20</v>
      </c>
    </row>
    <row r="27" customFormat="false" ht="15" hidden="false" customHeight="false" outlineLevel="0" collapsed="false">
      <c r="A27" s="12" t="s">
        <v>11</v>
      </c>
      <c r="B27" s="13" t="n">
        <f aca="false">COUNTIF(B5:B24,"CRITICAL")</f>
        <v>4</v>
      </c>
    </row>
    <row r="28" customFormat="false" ht="15" hidden="false" customHeight="false" outlineLevel="0" collapsed="false">
      <c r="A28" s="12" t="s">
        <v>40</v>
      </c>
      <c r="B28" s="13" t="n">
        <f aca="false">COUNTIF(B5:B24,"HIGH")</f>
        <v>8</v>
      </c>
    </row>
    <row r="29" customFormat="false" ht="15" hidden="false" customHeight="false" outlineLevel="0" collapsed="false">
      <c r="A29" s="12" t="s">
        <v>86</v>
      </c>
      <c r="B29" s="13" t="n">
        <f aca="false">COUNTIF(B5:B24,"MEDIUM")</f>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22"/>
    <col collapsed="false" customWidth="true" hidden="false" outlineLevel="0" max="4" min="4" style="0" width="20"/>
    <col collapsed="false" customWidth="true" hidden="false" outlineLevel="0" max="5" min="5" style="0" width="60"/>
  </cols>
  <sheetData>
    <row r="1" customFormat="false" ht="17.35" hidden="false" customHeight="false" outlineLevel="0" collapsed="false">
      <c r="A1" s="1" t="s">
        <v>140</v>
      </c>
    </row>
    <row r="2" customFormat="false" ht="25.5" hidden="false" customHeight="true" outlineLevel="0" collapsed="false">
      <c r="A2" s="2" t="s">
        <v>141</v>
      </c>
    </row>
    <row r="4" customFormat="false" ht="37.5" hidden="false" customHeight="true" outlineLevel="0" collapsed="false">
      <c r="A4" s="3" t="s">
        <v>142</v>
      </c>
      <c r="B4" s="3" t="s">
        <v>143</v>
      </c>
      <c r="C4" s="3" t="s">
        <v>144</v>
      </c>
      <c r="D4" s="3" t="s">
        <v>145</v>
      </c>
      <c r="E4" s="3" t="s">
        <v>146</v>
      </c>
    </row>
    <row r="5" customFormat="false" ht="42" hidden="false" customHeight="true" outlineLevel="0" collapsed="false">
      <c r="A5" s="14" t="s">
        <v>147</v>
      </c>
      <c r="B5" s="6" t="s">
        <v>148</v>
      </c>
      <c r="C5" s="6" t="s">
        <v>149</v>
      </c>
      <c r="D5" s="5" t="s">
        <v>150</v>
      </c>
      <c r="E5" s="6" t="s">
        <v>151</v>
      </c>
    </row>
    <row r="6" customFormat="false" ht="42" hidden="false" customHeight="true" outlineLevel="0" collapsed="false">
      <c r="A6" s="14" t="s">
        <v>152</v>
      </c>
      <c r="B6" s="6" t="s">
        <v>148</v>
      </c>
      <c r="C6" s="6" t="s">
        <v>153</v>
      </c>
      <c r="D6" s="5" t="s">
        <v>150</v>
      </c>
      <c r="E6" s="6" t="s">
        <v>154</v>
      </c>
    </row>
    <row r="7" customFormat="false" ht="42" hidden="false" customHeight="true" outlineLevel="0" collapsed="false">
      <c r="A7" s="14" t="s">
        <v>155</v>
      </c>
      <c r="B7" s="6" t="s">
        <v>148</v>
      </c>
      <c r="C7" s="6" t="s">
        <v>153</v>
      </c>
      <c r="D7" s="5" t="s">
        <v>150</v>
      </c>
      <c r="E7" s="6" t="s">
        <v>156</v>
      </c>
    </row>
    <row r="8" customFormat="false" ht="42" hidden="false" customHeight="true" outlineLevel="0" collapsed="false">
      <c r="A8" s="14" t="s">
        <v>157</v>
      </c>
      <c r="B8" s="6" t="s">
        <v>148</v>
      </c>
      <c r="C8" s="6" t="s">
        <v>149</v>
      </c>
      <c r="D8" s="5" t="s">
        <v>150</v>
      </c>
      <c r="E8" s="6" t="s">
        <v>158</v>
      </c>
    </row>
    <row r="9" customFormat="false" ht="42" hidden="false" customHeight="true" outlineLevel="0" collapsed="false">
      <c r="A9" s="14" t="s">
        <v>159</v>
      </c>
      <c r="B9" s="6" t="s">
        <v>148</v>
      </c>
      <c r="C9" s="6" t="s">
        <v>153</v>
      </c>
      <c r="D9" s="5" t="s">
        <v>150</v>
      </c>
      <c r="E9" s="6" t="s">
        <v>160</v>
      </c>
    </row>
    <row r="10" customFormat="false" ht="42" hidden="false" customHeight="true" outlineLevel="0" collapsed="false">
      <c r="A10" s="14" t="s">
        <v>161</v>
      </c>
      <c r="B10" s="6" t="s">
        <v>148</v>
      </c>
      <c r="C10" s="6" t="s">
        <v>153</v>
      </c>
      <c r="D10" s="5" t="s">
        <v>150</v>
      </c>
      <c r="E10" s="6" t="s">
        <v>162</v>
      </c>
    </row>
    <row r="11" customFormat="false" ht="42" hidden="false" customHeight="true" outlineLevel="0" collapsed="false">
      <c r="A11" s="14" t="s">
        <v>163</v>
      </c>
      <c r="B11" s="6" t="s">
        <v>148</v>
      </c>
      <c r="C11" s="6" t="s">
        <v>153</v>
      </c>
      <c r="D11" s="5" t="s">
        <v>150</v>
      </c>
      <c r="E11" s="6" t="s">
        <v>164</v>
      </c>
    </row>
    <row r="12" customFormat="false" ht="42" hidden="false" customHeight="true" outlineLevel="0" collapsed="false">
      <c r="A12" s="14" t="s">
        <v>165</v>
      </c>
      <c r="B12" s="6" t="s">
        <v>166</v>
      </c>
      <c r="C12" s="6" t="s">
        <v>167</v>
      </c>
      <c r="D12" s="5" t="s">
        <v>150</v>
      </c>
      <c r="E12" s="6" t="s">
        <v>168</v>
      </c>
    </row>
    <row r="13" customFormat="false" ht="42" hidden="false" customHeight="true" outlineLevel="0" collapsed="false">
      <c r="A13" s="14" t="s">
        <v>169</v>
      </c>
      <c r="B13" s="6" t="s">
        <v>166</v>
      </c>
      <c r="C13" s="6" t="s">
        <v>167</v>
      </c>
      <c r="D13" s="5" t="s">
        <v>150</v>
      </c>
      <c r="E13" s="6" t="s">
        <v>170</v>
      </c>
    </row>
    <row r="14" customFormat="false" ht="42" hidden="false" customHeight="true" outlineLevel="0" collapsed="false">
      <c r="A14" s="14" t="s">
        <v>171</v>
      </c>
      <c r="B14" s="6" t="s">
        <v>166</v>
      </c>
      <c r="C14" s="6" t="s">
        <v>167</v>
      </c>
      <c r="D14" s="5" t="s">
        <v>150</v>
      </c>
      <c r="E14" s="6" t="s">
        <v>172</v>
      </c>
    </row>
    <row r="15" customFormat="false" ht="42" hidden="false" customHeight="true" outlineLevel="0" collapsed="false">
      <c r="A15" s="14" t="s">
        <v>173</v>
      </c>
      <c r="B15" s="6" t="s">
        <v>166</v>
      </c>
      <c r="C15" s="6" t="s">
        <v>167</v>
      </c>
      <c r="D15" s="5" t="s">
        <v>150</v>
      </c>
      <c r="E15" s="6" t="s">
        <v>174</v>
      </c>
    </row>
    <row r="16" customFormat="false" ht="42" hidden="false" customHeight="true" outlineLevel="0" collapsed="false">
      <c r="A16" s="14" t="s">
        <v>175</v>
      </c>
      <c r="B16" s="6" t="s">
        <v>166</v>
      </c>
      <c r="C16" s="6" t="s">
        <v>176</v>
      </c>
      <c r="D16" s="5" t="s">
        <v>150</v>
      </c>
      <c r="E16" s="6" t="s">
        <v>177</v>
      </c>
    </row>
    <row r="17" customFormat="false" ht="42" hidden="false" customHeight="true" outlineLevel="0" collapsed="false">
      <c r="A17" s="14" t="s">
        <v>178</v>
      </c>
      <c r="B17" s="6" t="s">
        <v>179</v>
      </c>
      <c r="C17" s="6" t="s">
        <v>180</v>
      </c>
      <c r="D17" s="5" t="s">
        <v>150</v>
      </c>
      <c r="E17" s="6" t="s">
        <v>181</v>
      </c>
    </row>
    <row r="18" customFormat="false" ht="42" hidden="false" customHeight="true" outlineLevel="0" collapsed="false">
      <c r="A18" s="14" t="s">
        <v>182</v>
      </c>
      <c r="B18" s="6" t="s">
        <v>179</v>
      </c>
      <c r="C18" s="6" t="s">
        <v>180</v>
      </c>
      <c r="D18" s="5" t="s">
        <v>150</v>
      </c>
      <c r="E18" s="6" t="s">
        <v>183</v>
      </c>
    </row>
    <row r="19" customFormat="false" ht="42" hidden="false" customHeight="true" outlineLevel="0" collapsed="false">
      <c r="A19" s="14" t="s">
        <v>184</v>
      </c>
      <c r="B19" s="6" t="s">
        <v>179</v>
      </c>
      <c r="C19" s="6" t="s">
        <v>185</v>
      </c>
      <c r="D19" s="15" t="s">
        <v>186</v>
      </c>
      <c r="E19" s="6" t="s">
        <v>187</v>
      </c>
    </row>
    <row r="20" customFormat="false" ht="42" hidden="false" customHeight="true" outlineLevel="0" collapsed="false">
      <c r="A20" s="14" t="s">
        <v>188</v>
      </c>
      <c r="B20" s="6" t="s">
        <v>179</v>
      </c>
      <c r="C20" s="6" t="s">
        <v>185</v>
      </c>
      <c r="D20" s="15" t="s">
        <v>186</v>
      </c>
      <c r="E20" s="6" t="s">
        <v>189</v>
      </c>
    </row>
    <row r="21" customFormat="false" ht="42" hidden="false" customHeight="true" outlineLevel="0" collapsed="false">
      <c r="A21" s="14" t="s">
        <v>190</v>
      </c>
      <c r="B21" s="6" t="s">
        <v>179</v>
      </c>
      <c r="C21" s="6" t="s">
        <v>185</v>
      </c>
      <c r="D21" s="15" t="s">
        <v>186</v>
      </c>
      <c r="E21" s="6" t="s">
        <v>191</v>
      </c>
    </row>
    <row r="22" customFormat="false" ht="42" hidden="false" customHeight="true" outlineLevel="0" collapsed="false">
      <c r="A22" s="14" t="s">
        <v>192</v>
      </c>
      <c r="B22" s="6" t="s">
        <v>148</v>
      </c>
      <c r="C22" s="6" t="s">
        <v>185</v>
      </c>
      <c r="D22" s="15" t="s">
        <v>186</v>
      </c>
      <c r="E22" s="6" t="s">
        <v>193</v>
      </c>
    </row>
    <row r="23" customFormat="false" ht="42" hidden="false" customHeight="true" outlineLevel="0" collapsed="false">
      <c r="A23" s="14" t="s">
        <v>194</v>
      </c>
      <c r="B23" s="6" t="s">
        <v>166</v>
      </c>
      <c r="C23" s="6" t="s">
        <v>185</v>
      </c>
      <c r="D23" s="15" t="s">
        <v>186</v>
      </c>
      <c r="E23" s="6" t="s">
        <v>195</v>
      </c>
    </row>
    <row r="24" customFormat="false" ht="42" hidden="false" customHeight="true" outlineLevel="0" collapsed="false">
      <c r="A24" s="14" t="s">
        <v>196</v>
      </c>
      <c r="B24" s="6" t="s">
        <v>197</v>
      </c>
      <c r="C24" s="6" t="s">
        <v>40</v>
      </c>
      <c r="D24" s="5" t="s">
        <v>150</v>
      </c>
      <c r="E24" s="6" t="s">
        <v>198</v>
      </c>
    </row>
    <row r="25" customFormat="false" ht="42" hidden="false" customHeight="true" outlineLevel="0" collapsed="false">
      <c r="A25" s="14" t="s">
        <v>199</v>
      </c>
      <c r="B25" s="6" t="s">
        <v>197</v>
      </c>
      <c r="C25" s="6" t="s">
        <v>86</v>
      </c>
      <c r="D25" s="5" t="s">
        <v>150</v>
      </c>
      <c r="E25" s="6" t="s">
        <v>200</v>
      </c>
    </row>
    <row r="26" customFormat="false" ht="42" hidden="false" customHeight="true" outlineLevel="0" collapsed="false">
      <c r="A26" s="14" t="s">
        <v>201</v>
      </c>
      <c r="B26" s="6" t="s">
        <v>197</v>
      </c>
      <c r="C26" s="6" t="s">
        <v>11</v>
      </c>
      <c r="D26" s="5" t="s">
        <v>150</v>
      </c>
      <c r="E26" s="6" t="s">
        <v>202</v>
      </c>
    </row>
    <row r="27" customFormat="false" ht="42" hidden="false" customHeight="true" outlineLevel="0" collapsed="false">
      <c r="A27" s="14" t="s">
        <v>203</v>
      </c>
      <c r="B27" s="6" t="s">
        <v>204</v>
      </c>
      <c r="C27" s="6" t="s">
        <v>205</v>
      </c>
      <c r="D27" s="5" t="s">
        <v>150</v>
      </c>
      <c r="E27" s="6" t="s">
        <v>10</v>
      </c>
    </row>
    <row r="28" customFormat="false" ht="42" hidden="false" customHeight="true" outlineLevel="0" collapsed="false">
      <c r="A28" s="14" t="s">
        <v>206</v>
      </c>
      <c r="B28" s="6" t="s">
        <v>204</v>
      </c>
      <c r="C28" s="6" t="s">
        <v>207</v>
      </c>
      <c r="D28" s="5" t="s">
        <v>150</v>
      </c>
      <c r="E28" s="6" t="s">
        <v>39</v>
      </c>
    </row>
    <row r="29" customFormat="false" ht="42" hidden="false" customHeight="true" outlineLevel="0" collapsed="false">
      <c r="A29" s="14" t="s">
        <v>208</v>
      </c>
      <c r="B29" s="6" t="s">
        <v>204</v>
      </c>
      <c r="C29" s="6" t="s">
        <v>207</v>
      </c>
      <c r="D29" s="5" t="s">
        <v>150</v>
      </c>
      <c r="E29" s="6" t="s">
        <v>209</v>
      </c>
    </row>
    <row r="30" customFormat="false" ht="42" hidden="false" customHeight="true" outlineLevel="0" collapsed="false">
      <c r="A30" s="14" t="s">
        <v>210</v>
      </c>
      <c r="B30" s="6" t="s">
        <v>211</v>
      </c>
      <c r="C30" s="6" t="s">
        <v>40</v>
      </c>
      <c r="D30" s="5" t="s">
        <v>150</v>
      </c>
      <c r="E30" s="6" t="s">
        <v>46</v>
      </c>
    </row>
    <row r="31" customFormat="false" ht="42" hidden="false" customHeight="true" outlineLevel="0" collapsed="false">
      <c r="A31" s="14" t="s">
        <v>212</v>
      </c>
      <c r="B31" s="6" t="s">
        <v>211</v>
      </c>
      <c r="C31" s="6" t="s">
        <v>11</v>
      </c>
      <c r="D31" s="5" t="s">
        <v>150</v>
      </c>
      <c r="E31" s="6" t="s">
        <v>10</v>
      </c>
    </row>
    <row r="32" customFormat="false" ht="42" hidden="false" customHeight="true" outlineLevel="0" collapsed="false">
      <c r="A32" s="14" t="s">
        <v>213</v>
      </c>
      <c r="B32" s="6" t="s">
        <v>211</v>
      </c>
      <c r="C32" s="6" t="s">
        <v>40</v>
      </c>
      <c r="D32" s="5" t="s">
        <v>150</v>
      </c>
      <c r="E32" s="6" t="s">
        <v>39</v>
      </c>
    </row>
    <row r="33" customFormat="false" ht="42" hidden="false" customHeight="true" outlineLevel="0" collapsed="false">
      <c r="A33" s="14" t="s">
        <v>214</v>
      </c>
      <c r="B33" s="6" t="s">
        <v>211</v>
      </c>
      <c r="C33" s="6" t="s">
        <v>40</v>
      </c>
      <c r="D33" s="5" t="s">
        <v>150</v>
      </c>
      <c r="E33" s="6" t="s">
        <v>215</v>
      </c>
    </row>
    <row r="34" customFormat="false" ht="42" hidden="false" customHeight="true" outlineLevel="0" collapsed="false">
      <c r="A34" s="14" t="s">
        <v>216</v>
      </c>
      <c r="B34" s="6" t="s">
        <v>211</v>
      </c>
      <c r="C34" s="6" t="s">
        <v>11</v>
      </c>
      <c r="D34" s="5" t="s">
        <v>150</v>
      </c>
      <c r="E34" s="6" t="s">
        <v>217</v>
      </c>
    </row>
    <row r="35" customFormat="false" ht="42" hidden="false" customHeight="true" outlineLevel="0" collapsed="false">
      <c r="A35" s="14" t="s">
        <v>218</v>
      </c>
      <c r="B35" s="6" t="s">
        <v>211</v>
      </c>
      <c r="C35" s="6" t="s">
        <v>40</v>
      </c>
      <c r="D35" s="5" t="s">
        <v>150</v>
      </c>
      <c r="E35" s="6" t="s">
        <v>219</v>
      </c>
    </row>
    <row r="36" customFormat="false" ht="42" hidden="false" customHeight="true" outlineLevel="0" collapsed="false">
      <c r="A36" s="14" t="s">
        <v>220</v>
      </c>
      <c r="B36" s="6" t="s">
        <v>211</v>
      </c>
      <c r="C36" s="6" t="s">
        <v>86</v>
      </c>
      <c r="D36" s="5" t="s">
        <v>150</v>
      </c>
      <c r="E36" s="6" t="s">
        <v>221</v>
      </c>
    </row>
    <row r="37" customFormat="false" ht="42" hidden="false" customHeight="true" outlineLevel="0" collapsed="false">
      <c r="A37" s="14" t="s">
        <v>222</v>
      </c>
      <c r="B37" s="6" t="s">
        <v>211</v>
      </c>
      <c r="C37" s="6" t="s">
        <v>40</v>
      </c>
      <c r="D37" s="5" t="s">
        <v>150</v>
      </c>
      <c r="E37" s="6" t="s">
        <v>39</v>
      </c>
    </row>
    <row r="38" customFormat="false" ht="42" hidden="false" customHeight="true" outlineLevel="0" collapsed="false">
      <c r="A38" s="14" t="s">
        <v>223</v>
      </c>
      <c r="B38" s="6" t="s">
        <v>211</v>
      </c>
      <c r="C38" s="6" t="s">
        <v>40</v>
      </c>
      <c r="D38" s="5" t="s">
        <v>150</v>
      </c>
      <c r="E38" s="6" t="s">
        <v>39</v>
      </c>
    </row>
    <row r="39" customFormat="false" ht="42" hidden="false" customHeight="true" outlineLevel="0" collapsed="false">
      <c r="A39" s="14" t="s">
        <v>224</v>
      </c>
      <c r="B39" s="6" t="s">
        <v>211</v>
      </c>
      <c r="C39" s="6" t="s">
        <v>185</v>
      </c>
      <c r="D39" s="15" t="s">
        <v>186</v>
      </c>
      <c r="E39" s="6" t="s">
        <v>225</v>
      </c>
    </row>
    <row r="40" customFormat="false" ht="42" hidden="false" customHeight="true" outlineLevel="0" collapsed="false">
      <c r="A40" s="14" t="s">
        <v>226</v>
      </c>
      <c r="B40" s="6" t="s">
        <v>227</v>
      </c>
      <c r="C40" s="6" t="s">
        <v>185</v>
      </c>
      <c r="D40" s="15" t="s">
        <v>186</v>
      </c>
      <c r="E40" s="6" t="s">
        <v>228</v>
      </c>
    </row>
    <row r="41" customFormat="false" ht="42" hidden="false" customHeight="true" outlineLevel="0" collapsed="false">
      <c r="A41" s="14" t="s">
        <v>229</v>
      </c>
      <c r="B41" s="6" t="s">
        <v>230</v>
      </c>
      <c r="C41" s="6" t="s">
        <v>11</v>
      </c>
      <c r="D41" s="5" t="s">
        <v>150</v>
      </c>
      <c r="E41" s="6" t="s">
        <v>231</v>
      </c>
    </row>
    <row r="42" customFormat="false" ht="42" hidden="false" customHeight="true" outlineLevel="0" collapsed="false">
      <c r="A42" s="14" t="s">
        <v>232</v>
      </c>
      <c r="B42" s="6" t="s">
        <v>233</v>
      </c>
      <c r="C42" s="6" t="s">
        <v>11</v>
      </c>
      <c r="D42" s="5" t="s">
        <v>150</v>
      </c>
      <c r="E42" s="6" t="s">
        <v>234</v>
      </c>
    </row>
    <row r="43" customFormat="false" ht="42" hidden="false" customHeight="true" outlineLevel="0" collapsed="false">
      <c r="A43" s="14" t="s">
        <v>235</v>
      </c>
      <c r="B43" s="6" t="s">
        <v>233</v>
      </c>
      <c r="C43" s="6" t="s">
        <v>40</v>
      </c>
      <c r="D43" s="5" t="s">
        <v>150</v>
      </c>
      <c r="E43" s="6" t="s">
        <v>236</v>
      </c>
    </row>
    <row r="44" customFormat="false" ht="42" hidden="false" customHeight="true" outlineLevel="0" collapsed="false">
      <c r="A44" s="14" t="s">
        <v>237</v>
      </c>
      <c r="B44" s="6" t="s">
        <v>230</v>
      </c>
      <c r="C44" s="6" t="s">
        <v>238</v>
      </c>
      <c r="D44" s="5" t="s">
        <v>150</v>
      </c>
      <c r="E44" s="6" t="s">
        <v>239</v>
      </c>
    </row>
    <row r="45" customFormat="false" ht="42" hidden="false" customHeight="true" outlineLevel="0" collapsed="false">
      <c r="A45" s="14" t="s">
        <v>240</v>
      </c>
      <c r="B45" s="6" t="s">
        <v>230</v>
      </c>
      <c r="C45" s="6" t="s">
        <v>185</v>
      </c>
      <c r="D45" s="15" t="s">
        <v>186</v>
      </c>
      <c r="E45" s="6" t="s">
        <v>241</v>
      </c>
    </row>
    <row r="46" customFormat="false" ht="42" hidden="false" customHeight="true" outlineLevel="0" collapsed="false">
      <c r="A46" s="14" t="s">
        <v>242</v>
      </c>
      <c r="B46" s="6" t="s">
        <v>230</v>
      </c>
      <c r="C46" s="6" t="s">
        <v>185</v>
      </c>
      <c r="D46" s="15" t="s">
        <v>186</v>
      </c>
      <c r="E46" s="6" t="s">
        <v>243</v>
      </c>
    </row>
    <row r="47" customFormat="false" ht="42" hidden="false" customHeight="true" outlineLevel="0" collapsed="false">
      <c r="A47" s="14" t="s">
        <v>244</v>
      </c>
      <c r="B47" s="6" t="s">
        <v>230</v>
      </c>
      <c r="C47" s="6" t="s">
        <v>185</v>
      </c>
      <c r="D47" s="15" t="s">
        <v>186</v>
      </c>
      <c r="E47" s="6" t="s">
        <v>245</v>
      </c>
    </row>
    <row r="48" customFormat="false" ht="42" hidden="false" customHeight="true" outlineLevel="0" collapsed="false">
      <c r="A48" s="14" t="s">
        <v>246</v>
      </c>
      <c r="B48" s="6" t="s">
        <v>230</v>
      </c>
      <c r="C48" s="6" t="s">
        <v>185</v>
      </c>
      <c r="D48" s="15" t="s">
        <v>186</v>
      </c>
      <c r="E48" s="6" t="s">
        <v>247</v>
      </c>
    </row>
    <row r="49" customFormat="false" ht="42" hidden="false" customHeight="true" outlineLevel="0" collapsed="false">
      <c r="A49" s="14" t="s">
        <v>248</v>
      </c>
      <c r="B49" s="6" t="s">
        <v>230</v>
      </c>
      <c r="C49" s="6" t="s">
        <v>185</v>
      </c>
      <c r="D49" s="15" t="s">
        <v>186</v>
      </c>
      <c r="E49" s="6" t="s">
        <v>249</v>
      </c>
    </row>
    <row r="50" customFormat="false" ht="42" hidden="false" customHeight="true" outlineLevel="0" collapsed="false">
      <c r="A50" s="14" t="s">
        <v>250</v>
      </c>
      <c r="B50" s="6" t="s">
        <v>230</v>
      </c>
      <c r="C50" s="6" t="s">
        <v>185</v>
      </c>
      <c r="D50" s="15" t="s">
        <v>186</v>
      </c>
      <c r="E50" s="6" t="s">
        <v>251</v>
      </c>
    </row>
    <row r="52" customFormat="false" ht="15" hidden="false" customHeight="false" outlineLevel="0" collapsed="false">
      <c r="A52" s="12" t="s">
        <v>252</v>
      </c>
      <c r="B52" s="13" t="n">
        <f aca="false">COUNTA(A5:A51)</f>
        <v>46</v>
      </c>
    </row>
    <row r="53" customFormat="false" ht="15" hidden="false" customHeight="false" outlineLevel="0" collapsed="false">
      <c r="A53" s="12" t="s">
        <v>253</v>
      </c>
      <c r="B53" s="13" t="n">
        <f aca="false">COUNTIF(D5:D51,"OPEN")</f>
        <v>33</v>
      </c>
    </row>
    <row r="54" customFormat="false" ht="15" hidden="false" customHeight="false" outlineLevel="0" collapsed="false">
      <c r="A54" s="12" t="s">
        <v>254</v>
      </c>
      <c r="B54" s="13" t="n">
        <f aca="false">COUNTIF(D5:D51,"CLOSED")</f>
        <v>13</v>
      </c>
    </row>
    <row r="55" customFormat="false" ht="15" hidden="false" customHeight="false" outlineLevel="0" collapsed="false">
      <c r="A55" s="12" t="s">
        <v>255</v>
      </c>
      <c r="B55" s="13" t="n">
        <f aca="false">0</f>
        <v>0</v>
      </c>
    </row>
    <row r="57" customFormat="false" ht="30" hidden="false" customHeight="true" outlineLevel="0" collapsed="false">
      <c r="A57" s="16" t="s">
        <v>256</v>
      </c>
      <c r="B57" s="16"/>
      <c r="C57" s="16"/>
      <c r="D57" s="16"/>
      <c r="E57" s="16"/>
    </row>
  </sheetData>
  <mergeCells count="1">
    <mergeCell ref="A57:E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28"/>
    <col collapsed="false" customWidth="true" hidden="false" outlineLevel="0" max="4" min="4" style="0" width="15"/>
    <col collapsed="false" customWidth="true" hidden="false" outlineLevel="0" max="5" min="5" style="0" width="26"/>
    <col collapsed="false" customWidth="true" hidden="false" outlineLevel="0" max="6" min="6" style="0" width="48"/>
  </cols>
  <sheetData>
    <row r="1" customFormat="false" ht="17.35" hidden="false" customHeight="false" outlineLevel="0" collapsed="false">
      <c r="A1" s="1" t="s">
        <v>257</v>
      </c>
    </row>
    <row r="2" customFormat="false" ht="25.5" hidden="false" customHeight="true" outlineLevel="0" collapsed="false">
      <c r="A2" s="2" t="s">
        <v>258</v>
      </c>
    </row>
    <row r="4" customFormat="false" ht="37.5" hidden="false" customHeight="true" outlineLevel="0" collapsed="false">
      <c r="A4" s="3" t="s">
        <v>259</v>
      </c>
      <c r="B4" s="3" t="s">
        <v>260</v>
      </c>
      <c r="C4" s="3" t="s">
        <v>261</v>
      </c>
      <c r="D4" s="3" t="s">
        <v>262</v>
      </c>
      <c r="E4" s="3" t="s">
        <v>263</v>
      </c>
      <c r="F4" s="3" t="s">
        <v>264</v>
      </c>
    </row>
    <row r="5" customFormat="false" ht="72" hidden="false" customHeight="true" outlineLevel="0" collapsed="false">
      <c r="A5" s="17" t="s">
        <v>265</v>
      </c>
      <c r="B5" s="6" t="s">
        <v>266</v>
      </c>
      <c r="C5" s="6" t="s">
        <v>29</v>
      </c>
      <c r="D5" s="6" t="s">
        <v>63</v>
      </c>
      <c r="E5" s="6" t="s">
        <v>267</v>
      </c>
      <c r="F5" s="6" t="s">
        <v>268</v>
      </c>
    </row>
    <row r="6" customFormat="false" ht="72" hidden="false" customHeight="true" outlineLevel="0" collapsed="false">
      <c r="A6" s="17" t="s">
        <v>269</v>
      </c>
      <c r="B6" s="6" t="s">
        <v>270</v>
      </c>
      <c r="C6" s="6" t="s">
        <v>29</v>
      </c>
      <c r="D6" s="6" t="s">
        <v>271</v>
      </c>
      <c r="E6" s="6" t="s">
        <v>272</v>
      </c>
      <c r="F6" s="6" t="s">
        <v>273</v>
      </c>
    </row>
    <row r="7" customFormat="false" ht="72" hidden="false" customHeight="true" outlineLevel="0" collapsed="false">
      <c r="A7" s="18" t="s">
        <v>274</v>
      </c>
      <c r="B7" s="19" t="s">
        <v>275</v>
      </c>
      <c r="C7" s="19" t="s">
        <v>36</v>
      </c>
      <c r="D7" s="19" t="s">
        <v>63</v>
      </c>
      <c r="E7" s="19" t="s">
        <v>276</v>
      </c>
      <c r="F7" s="19" t="s">
        <v>277</v>
      </c>
    </row>
    <row r="8" customFormat="false" ht="72" hidden="false" customHeight="true" outlineLevel="0" collapsed="false">
      <c r="A8" s="17" t="s">
        <v>278</v>
      </c>
      <c r="B8" s="6" t="s">
        <v>279</v>
      </c>
      <c r="C8" s="6" t="s">
        <v>82</v>
      </c>
      <c r="D8" s="6" t="s">
        <v>63</v>
      </c>
      <c r="E8" s="6" t="s">
        <v>280</v>
      </c>
      <c r="F8" s="6" t="s">
        <v>281</v>
      </c>
    </row>
    <row r="9" customFormat="false" ht="72" hidden="false" customHeight="true" outlineLevel="0" collapsed="false">
      <c r="A9" s="17" t="s">
        <v>282</v>
      </c>
      <c r="B9" s="6" t="s">
        <v>283</v>
      </c>
      <c r="C9" s="6" t="s">
        <v>29</v>
      </c>
      <c r="D9" s="6" t="s">
        <v>83</v>
      </c>
      <c r="E9" s="6" t="s">
        <v>284</v>
      </c>
      <c r="F9" s="6" t="s">
        <v>285</v>
      </c>
    </row>
    <row r="10" customFormat="false" ht="72" hidden="false" customHeight="true" outlineLevel="0" collapsed="false">
      <c r="A10" s="17" t="s">
        <v>286</v>
      </c>
      <c r="B10" s="6" t="s">
        <v>287</v>
      </c>
      <c r="C10" s="6" t="s">
        <v>36</v>
      </c>
      <c r="D10" s="6" t="s">
        <v>126</v>
      </c>
      <c r="E10" s="6" t="s">
        <v>288</v>
      </c>
      <c r="F10" s="6" t="s">
        <v>289</v>
      </c>
    </row>
    <row r="11" customFormat="false" ht="72" hidden="false" customHeight="true" outlineLevel="0" collapsed="false">
      <c r="A11" s="17" t="s">
        <v>290</v>
      </c>
      <c r="B11" s="6" t="s">
        <v>291</v>
      </c>
      <c r="C11" s="6" t="s">
        <v>292</v>
      </c>
      <c r="D11" s="6" t="s">
        <v>63</v>
      </c>
      <c r="E11" s="6" t="s">
        <v>293</v>
      </c>
      <c r="F11" s="6" t="s">
        <v>294</v>
      </c>
    </row>
    <row r="12" customFormat="false" ht="72" hidden="false" customHeight="true" outlineLevel="0" collapsed="false">
      <c r="A12" s="17" t="s">
        <v>295</v>
      </c>
      <c r="B12" s="6" t="s">
        <v>296</v>
      </c>
      <c r="C12" s="6" t="s">
        <v>297</v>
      </c>
      <c r="D12" s="6" t="s">
        <v>298</v>
      </c>
      <c r="E12" s="6" t="s">
        <v>25</v>
      </c>
      <c r="F12" s="6" t="s">
        <v>299</v>
      </c>
    </row>
    <row r="13" customFormat="false" ht="72" hidden="false" customHeight="true" outlineLevel="0" collapsed="false">
      <c r="A13" s="17" t="s">
        <v>300</v>
      </c>
      <c r="B13" s="6" t="s">
        <v>301</v>
      </c>
      <c r="C13" s="6" t="s">
        <v>297</v>
      </c>
      <c r="D13" s="6" t="s">
        <v>271</v>
      </c>
      <c r="E13" s="6" t="s">
        <v>302</v>
      </c>
      <c r="F13" s="6"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2026-08-26T08:15:03Z</dcterms:created>
  <dc:creator>openpyxl</dc:creator>
  <dc:description/>
  <dc:language>en-US</dc:language>
  <cp:lastModifiedBy/>
  <dcterms:modified xsi:type="dcterms:W3CDTF">2026-08-26T08:16:14Z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