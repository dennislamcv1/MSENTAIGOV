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PA — Article 30 Register" sheetId="1" state="visible" r:id="rId3"/>
    <sheet name="Lawful Basis Classification" sheetId="2" state="visible" r:id="rId4"/>
    <sheet name="Art 9 Field Inventory" sheetId="3" state="visible" r:id="rId5"/>
    <sheet name="Open Determinations" sheetId="4" state="visible" r:id="rId6"/>
    <sheet name="Register Summary" sheetId="5" state="visible" r:id="rId7"/>
    <sheet name="Change Log vs Sourc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<sst xmlns="http://schemas.openxmlformats.org/spreadsheetml/2006/main" count="670" uniqueCount="483">
  <si>
    <t xml:space="preserve">RECORD OF PROCESSING ACTIVITIES — ARTICLE 30(1) REGISTER (EXCERPT)</t>
  </si>
  <si>
    <t xml:space="preserve">Controller: Meridian Health Partners Ltd.  |  System: Insurance Claims Triage AI (ClaimsTriage) v2.4  |  Ref: MHP-AI-GOV-2026-PKG01-ROPA  |  Effective: 3 July 2026  |  Classification: Internal Restricted</t>
  </si>
  <si>
    <t xml:space="preserve">Scope note: this excerpt covers every processing activity of the ClaimsTriage v2.4 deployment, not a selected subset. Records P-02 and P-07 to P-10 were unregistered in the source draft and are added here. Art 30(1)(a) contact details, Art 30(1)(e) transfer safeguards and Art 30(1)(g) security measures were absent from the source template and are added as columns L, H and T.</t>
  </si>
  <si>
    <t xml:space="preserve">Record Ref</t>
  </si>
  <si>
    <t xml:space="preserve">Processing Activity</t>
  </si>
  <si>
    <t xml:space="preserve">Controller &amp; DPO Contact  [Art 30(1)(a)]</t>
  </si>
  <si>
    <t xml:space="preserve">Processing Purpose  [Art 30(1)(b)]</t>
  </si>
  <si>
    <t xml:space="preserve">Categories of Data Subjects  [Art 30(1)(c)]</t>
  </si>
  <si>
    <t xml:space="preserve">Categories of Personal Data — SPECIFIC  [Art 30(1)(c)]</t>
  </si>
  <si>
    <t xml:space="preserve">Recipients / Third Parties  [Art 30(1)(d)]</t>
  </si>
  <si>
    <t xml:space="preserve">Transfers to Third Countries &amp; Safeguards  [Art 30(1)(e)]</t>
  </si>
  <si>
    <t xml:space="preserve">Art 6 Lawful Basis</t>
  </si>
  <si>
    <t xml:space="preserve">Lawful Basis Rationale Narrative</t>
  </si>
  <si>
    <t xml:space="preserve">Art 9 Flag</t>
  </si>
  <si>
    <t xml:space="preserve">Art 9 Category &amp; Condition</t>
  </si>
  <si>
    <t xml:space="preserve">Retention — System of Record  [Art 30(1)(f)]</t>
  </si>
  <si>
    <t xml:space="preserve">Retention — Intermediate Cache</t>
  </si>
  <si>
    <t xml:space="preserve">Retention Basis</t>
  </si>
  <si>
    <t xml:space="preserve">ADM Indicator (Art 22)</t>
  </si>
  <si>
    <t xml:space="preserve">DPIA Reference</t>
  </si>
  <si>
    <t xml:space="preserve">DPO Sign-Off Routing</t>
  </si>
  <si>
    <t xml:space="preserve">DPO Sign-Off Trigger Note</t>
  </si>
  <si>
    <t xml:space="preserve">Technical &amp; Organisational Security Measures  [Art 30(1)(g)]</t>
  </si>
  <si>
    <t xml:space="preserve">P-01</t>
  </si>
  <si>
    <t xml:space="preserve">Live claim narrative processing (operational triage)</t>
  </si>
  <si>
    <t xml:space="preserve">Controller: Meridian Health Partners Ltd.
Registered office: pending OD-01
DPO: Lead Data Privacy Officer, dpo@meridianhealth.example
Art 27 representative: N/A (EU establishment)</t>
  </si>
  <si>
    <t xml:space="preserve">Real-time classification of clinical gravity of incoming claims; automated routing to the appropriate adjudication queue; flagging of high-risk claims to the human review queue. Operational claim administration — distinct from the training reuse registered at P-03.</t>
  </si>
  <si>
    <t xml:space="preserve">Policyholders submitting claims against active coverage.
Third parties named incidentally within narratives: dependants, beneficiaries, treating clinicians, employers, witnesses.</t>
  </si>
  <si>
    <t xml:space="preserve">Free-text clinical narrative containing: presenting condition and chief complaint; symptom description, onset and severity; injury mechanism, body site and laterality; diagnosis (free-text and ICD-coded where volunteered); treatment and procedures received; medication names and dosages; admission, discharge and treatment dates; treating practitioner and facility identifiers; prognosis and expected recovery period; functional limitation and incapacity for work.
Claimant identifiers: name, policy number, date of birth, contact details, address.
Incidental other Art 9 categories may appear unprompted in free text — mental health, pregnancy and maternity, substance use, genetic/familial conditions, disability status, and (rarely) religious belief where treatment was refused on that basis or trade union membership in occupational injury claims.</t>
  </si>
  <si>
    <t xml:space="preserve">Internal Claims team; Adjudication managers; Senior Medical Adjudicators (high-risk queue only); Microsoft Corporation (Azure hosting and telemetry — Art 28 processor).</t>
  </si>
  <si>
    <t xml:space="preserve">UNDETERMINED — not asserted. Azure region and Microsoft sub-processor chain pending OD-04. The source draft's entry 'None identified at this stage' is withdrawn: it records that no assessment was performed, not that no transfer occurs. Chapter V determination due before audit.</t>
  </si>
  <si>
    <t xml:space="preserve">Art 6(1)(b) — necessary for performance of the insurance contract (claim administration).
For third parties named in narratives: Art 6(1)(f).</t>
  </si>
  <si>
    <t xml:space="preserve">Adjudicating a submitted claim is the core contractual performance obligation owed to the policyholder; triage classification and routing are necessary preparatory steps to that adjudication, not an optional enhancement. Art 6(1)(b) is therefore available for the claimant's own data. It is NOT available for third parties named in the narrative, who are not party to the contract; their data rests on Art 6(1)(f), with the balancing test recognising that Meridian cannot practicably avoid receiving it and applies minimisation and access restriction as counterweights. Art 14(5)(b) disproportionate-effort relief is relied on for notice to those third parties and must be documented.</t>
  </si>
  <si>
    <t xml:space="preserve">Yes</t>
  </si>
  <si>
    <t xml:space="preserve">Data concerning health — Art 9(1).
Condition: Art 9(2)(g) substantial public interest (insurance purposes), requiring an identified Member State legal provision and an appropriate policy document — pending OD-01.
Art 9(2)(f) (legal claims) available as an alternative where a claim is contested.</t>
  </si>
  <si>
    <t xml:space="preserve">5 years from claim closure, in the claims system of record.</t>
  </si>
  <si>
    <t xml:space="preserve">Intermediate LLM processing cache purged at session close, maximum 60 minutes. No free-text content persists in the cache beyond the active triage routing window.
These are two distinct stores; the 5-year figure does not apply to the cache.</t>
  </si>
  <si>
    <t xml:space="preserve">Regulatory insurance record retention mandates; contractual limitation periods for claim disputes.</t>
  </si>
  <si>
    <t xml:space="preserve">Input to ADM with significant effects. The decision itself is recorded at P-05.</t>
  </si>
  <si>
    <t xml:space="preserve">DPIA-VTA-2024-003</t>
  </si>
  <si>
    <t xml:space="preserve">DPO Required</t>
  </si>
  <si>
    <t xml:space="preserve">Art 35(3)(b) — processing of special category data on a large scale (~4.2m claims/day). Art 9 category confirmed.</t>
  </si>
  <si>
    <t xml:space="preserve">APPLIED: TLS 1.3 in transit; AES-256 at rest; ABAC/RBAC via corporate IAM with dual-author deployment validation (C3.2); private VNet isolation, no public route to model subnets (C1.2); API rate limiting (C1.1); Azure Monitor/Defender telemetry with SIEM alerting (C2.3).
KNOWN DEFICIENCIES at this date: no LLM-aware WAF signatures (C1.3); input filtering limited to regex/keyword (C2.1); no outbound JSON schema validation (C2.2); no context-window structural encapsulation (C2.4); no cryptographic ingestion hashing (C3.1); no DP-SGD in retraining (C3.3).</t>
  </si>
  <si>
    <t xml:space="preserve">P-02</t>
  </si>
  <si>
    <t xml:space="preserve">Supporting medical documentation ingest</t>
  </si>
  <si>
    <t xml:space="preserve">Ingestion and parsing of claimant-supplied medical documentation submitted in support of a claim, for the same triage classification and routing purpose as P-01.</t>
  </si>
  <si>
    <t xml:space="preserve">Policyholders submitting claims.
Third parties named within supplied documentation, including treating clinicians and named dependants.</t>
  </si>
  <si>
    <t xml:space="preserve">Multi-format PDF and image documents comprising: discharge summaries; clinical letters and referral correspondence; diagnostic imaging reports; laboratory and pathology results; prescription records; sick notes and fitness-for-work certificates; invoices and treatment cost schedules bearing procedure codes; specialist assessment reports.
These carry structured clinical data at higher density and reliability than free-text narrative, and frequently include practitioner identifiers, facility identifiers and full dates.</t>
  </si>
  <si>
    <t xml:space="preserve">Internal Claims team; Adjudication managers; Senior Medical Adjudicators; Microsoft Corporation (Azure — Art 28 processor).</t>
  </si>
  <si>
    <t xml:space="preserve">Art 6(1)(b) — necessary for performance of the insurance contract.</t>
  </si>
  <si>
    <t xml:space="preserve">Documentary evidence is required to substantiate a claim; processing it is inseparable from adjudicating the claim. Registered separately from P-01 because the ingestion path (Stage 1 multi-format document parse) and the data density differ materially from free-text narrative, and because the source draft register omitted it entirely despite the architecture specification listing it as a Stage 1 input.</t>
  </si>
  <si>
    <t xml:space="preserve">Data concerning health — Art 9(1). Genetic data (Art 9(1)) where laboratory or pathology results include genetic testing.
Condition: Art 9(2)(g), as P-01.</t>
  </si>
  <si>
    <t xml:space="preserve">5 years from claim closure, held with the claim file.</t>
  </si>
  <si>
    <t xml:space="preserve">Parsed text purged from the intermediate cache at session close, maximum 60 minutes. Source documents remain in the claim file.</t>
  </si>
  <si>
    <t xml:space="preserve">Regulatory insurance record retention mandates; evidential requirements for contested claims.</t>
  </si>
  <si>
    <t xml:space="preserve">Input to ADM with significant effects.</t>
  </si>
  <si>
    <t xml:space="preserve">Art 35(3)(b) large-scale special category processing. Potential genetic data raises the sensitivity tier.</t>
  </si>
  <si>
    <t xml:space="preserve">P-03</t>
  </si>
  <si>
    <t xml:space="preserve">Retention of narratives and documentation as training corpus</t>
  </si>
  <si>
    <t xml:space="preserve">Retention and reuse of historical claim narratives and supporting documentation to train, fine-tune, evaluate and periodically retrain the ClaimsTriage classification model. Secondary purpose, distinct from the operational purpose at P-01/P-02.</t>
  </si>
  <si>
    <t xml:space="preserve">Policyholders whose claims were processed in prior cycles.
Third parties named within retained narratives.</t>
  </si>
  <si>
    <t xml:space="preserve">As P-01 and P-02, in de-identified form following the NER masking pipeline: clinical narrative content, diagnosis, treatment and outcome data, retained for its semantic and clinical-signal value.
Direct identifiers are masked to synthetic category tokens ([CLAIMANT_NAME], [CLINIC_ID], [DATE]) prior to corpus inclusion. Residual quasi-identifiers remain embedded in narrative prose — see De-Identification Matrix residual risks R-DEID-01 to R-DEID-03.</t>
  </si>
  <si>
    <t xml:space="preserve">Internal AI model development team; NovaTriage Analytics Ltd. (Art 28 processor — see P-10 for the transfer).</t>
  </si>
  <si>
    <t xml:space="preserve">Art 6(1)(f) — legitimate interests.</t>
  </si>
  <si>
    <t xml:space="preserve">Art 6(1)(b) was considered and REJECTED: training a model on a closed claim is not necessary to perform the contract under which that claim arose; the contractual obligation was discharged at adjudication. Reliance therefore falls to Art 6(1)(f), supported by a completed Legitimate Interest Assessment. The balancing test acknowledges that this is a secondary use the data subject did not seek, and rests on de-identification, the absence of any decision affecting the original claimant, and an operative Art 21 right to object. Because Art 21(1) applies to Art 6(1)(f) processing, an objection route must exist and be honoured by exclusion from the next corpus freeze — see open item in the Change Log.</t>
  </si>
  <si>
    <t xml:space="preserve">Data concerning health — Art 9(1). De-identification reduces but does not eliminate the Art 9 character: pseudonymised and NER-masked data remains personal data under Art 4(5) and Recital 26, and the corpus is not anonymous.
Condition: Art 9(2)(g).</t>
  </si>
  <si>
    <t xml:space="preserve">Supported lifetime of the model version plus 12 months for reproducibility and audit; maximum 36 months from corpus freeze.</t>
  </si>
  <si>
    <t xml:space="preserve">Not applicable — corpus is a persistent store, not a processing cache.</t>
  </si>
  <si>
    <t xml:space="preserve">Model reproducibility and audit defensibility; Art 5(1)(e) storage limitation applied via the 36-month ceiling.</t>
  </si>
  <si>
    <t xml:space="preserve">No — training corpus is not itself an automated decision.</t>
  </si>
  <si>
    <t xml:space="preserve">Secondary use of Art 9 data at scale under legitimate interests; LIA and Art 21 objection route both required.</t>
  </si>
  <si>
    <t xml:space="preserve">P-04</t>
  </si>
  <si>
    <t xml:space="preserve">Self-reported demographic monitoring field</t>
  </si>
  <si>
    <t xml:space="preserve">Collection of voluntary self-reported demographic data via a structured monitoring form at point of claim.
STATED PURPOSE IN SOURCE DRAFT IS AMBIGUOUS and is flagged as OD-07: the draft records both 'AI-assisted model training' and 'diversity monitoring dimension'. These are materially different processing operations with different risk profiles and cannot both stand unresolved.</t>
  </si>
  <si>
    <t xml:space="preserve">Policyholders who voluntarily completed the demographic monitoring form. Completion is optional and not a condition of claim submission.</t>
  </si>
  <si>
    <t xml:space="preserve">Self-reported racial or ethnic origin category; self-reported national or ethnic background. Structured categorical values, not free text.</t>
  </si>
  <si>
    <t xml:space="preserve">Internal Claims team; Diversity &amp; Inclusion reporting function; AI model development team (scope contingent on OD-07).</t>
  </si>
  <si>
    <t xml:space="preserve">Art 6(1)(a) — explicit consent.</t>
  </si>
  <si>
    <t xml:space="preserve">Explicit, granular, freely given consent captured at portal entry through a standalone opt-in, separate from claim submission and with no detriment on refusal. Consent is documented in the central consent management system with a withdrawal route linked to the retraining pipeline. Consent is a valid basis here precisely because the processing is genuinely optional and refusal carries no consequence for the claim — which would not be true of P-01.</t>
  </si>
  <si>
    <t xml:space="preserve">Racial or ethnic origin — Art 9(1).
Condition: Art 9(2)(a) explicit consent.</t>
  </si>
  <si>
    <t xml:space="preserve">2 years, or until consent is withdrawn, whichever is earlier.</t>
  </si>
  <si>
    <t xml:space="preserve">Not applicable.</t>
  </si>
  <si>
    <t xml:space="preserve">Duration of consent; Art 7(3) right to withdraw at any time, with withdrawal propagated to the next retraining cycle.</t>
  </si>
  <si>
    <t xml:space="preserve">PENDING OD-07. If this field is a model input feature, ADM = Yes and Art 22(4) is engaged alongside a direct discrimination risk under Art 5(1)(a). If it is used only for downstream fairness monitoring of outputs, ADM = No. Registered as Yes pending resolution, on the conservative reading.</t>
  </si>
  <si>
    <t xml:space="preserve">Art 9 explicit-consent processing; OD-07 unresolved and material to the Art 22(4) position.</t>
  </si>
  <si>
    <t xml:space="preserve">P-05</t>
  </si>
  <si>
    <t xml:space="preserve">Automated triage output and clinical-gravity scores</t>
  </si>
  <si>
    <t xml:space="preserve">Generation, dispatch and retention of AI-produced clinical-gravity classifications, priority scores, high-risk flags and queue assignments; retention supports model evaluation, decision auditability and Art 22(3) contestation.</t>
  </si>
  <si>
    <t xml:space="preserve">Policyholders whose claims were processed through the AI screening model.</t>
  </si>
  <si>
    <t xml:space="preserve">Clinical-gravity classification; numeric priority score and rank; high-risk review flag; adjudication queue assignment; model version and inference timestamp; confidence or logit metadata where retained.
Each value is linked to an identified policyholder record.</t>
  </si>
  <si>
    <t xml:space="preserve">Internal Claims team; Adjudication managers; downstream Claims Management Systems (automated adjudication queue, high-risk human review queue, medical underwriting systems); AI model development team.</t>
  </si>
  <si>
    <t xml:space="preserve">Art 6(1)(b) for the operational decision; Art 6(1)(f) for retention beyond the decision for evaluation purposes.</t>
  </si>
  <si>
    <t xml:space="preserve">The score is generated in the course of adjudicating the claim and is therefore contract-necessary at the point of decision. Its retention beyond that point, for model evaluation, is a secondary purpose under Art 6(1)(f). Retention is also a safeguard, not merely an interest: Art 22(3) requires that the data subject can contest the decision, and Art 15(1)(h) requires meaningful information about the logic — neither is deliverable without a retained decision record.</t>
  </si>
  <si>
    <t xml:space="preserve">Data concerning health — Art 9(1), DERIVED.
A classification expressing clinical gravity, computed from health narratives and attached to an identified policyholder, reveals health status; data revealing a special category is special category data whether collected or inferred. The source draft's 'No — derived internal operational sorting index' is corrected. Documented as a reasoned position rather than left silent, as it is the more contestable of the two Art 9 corrections in this register.
Condition: Art 9(2)(g), with Art 22(4) additionally engaged.</t>
  </si>
  <si>
    <t xml:space="preserve">5 years from claim closure, aligned to the claim file.</t>
  </si>
  <si>
    <t xml:space="preserve">Not applicable — decision record is persistent by design.</t>
  </si>
  <si>
    <t xml:space="preserve">Art 22(3) contestation rights; Art 15(1)(h) transparency; regulatory record retention.</t>
  </si>
  <si>
    <t xml:space="preserve">YES — this record IS the automated decision. Significant effects arise through prioritisation of adjudication and settlement timelines. Art 22(1) applies unless human involvement in the review queue is meaningful — UNEVIDENCED, see OD-03.</t>
  </si>
  <si>
    <t xml:space="preserve">Art 35(3)(a) systematic and extensive automated evaluation with significant effects — the strongest DPO trigger in this register. The source draft routed this record 'Controller Only'; corrected.</t>
  </si>
  <si>
    <t xml:space="preserve">P-06</t>
  </si>
  <si>
    <t xml:space="preserve">Historic adjuster notes as training corpus</t>
  </si>
  <si>
    <t xml:space="preserve">Reuse of free-text observations recorded by human adjusters during prior evaluation cycles, as labelled training data encoding historical triage judgement.</t>
  </si>
  <si>
    <t xml:space="preserve">Policyholders assessed by adjusters during prior evaluation cycles.
(The authoring adjusters are data subjects of the authorship metadata only; employee monitoring is out of scope.)</t>
  </si>
  <si>
    <t xml:space="preserve">Free-text adjuster observations containing: assessment of claim severity and legitimacy; clinical observations and paraphrased diagnosis; references to claimant presentation and credibility; treatment appropriateness commentary; settlement recommendation and rationale.
These notes were written for internal use without expectation of downstream reuse, and are less disciplined than clinical documentation — they may contain subjective, evaluative or pejorative content alongside clinical fact.</t>
  </si>
  <si>
    <t xml:space="preserve">Internal Claims team; AI model development team; NovaTriage Analytics Ltd. (Art 28 processor).</t>
  </si>
  <si>
    <t xml:space="preserve">Art 6(1)(b) considered and rejected on the same reasoning as P-03: reuse for model training is incidental to the performance of the original claim contract. LIA completed. The balancing test carries additional weight here because the notes contain subjective adjuster commentary the claimant has never seen and would not expect to be used to train an automated system, and because Art 22(3)/15(1)(h) exposure arises if such commentary shapes model behaviour. Redaction of direct identifiers is applied before ingestion, with a structural redaction audit log retained.</t>
  </si>
  <si>
    <t xml:space="preserve">Data concerning health — Art 9(1).
The source draft's 'Conditional — post-redaction review required' is corrected. Art 9 admits no conditional state: it applies to a category of data or it does not. Redaction is a minimisation CONTROL, not a basis for de-flagging, and our own De-Identification Matrix records NER false negatives as a live residual risk, so completeness cannot be assumed.
Condition: Art 9(2)(g).</t>
  </si>
  <si>
    <t xml:space="preserve">7 years from the date of the underlying assessment.</t>
  </si>
  <si>
    <t xml:space="preserve">Statutory limitation periods; historical audit requirements.</t>
  </si>
  <si>
    <t xml:space="preserve">Redaction-Audit-2026-CMS; DPIA-VTA-2024-003</t>
  </si>
  <si>
    <t xml:space="preserve">Art 9 data under legitimate interests with acknowledged imperfect redaction. Source draft routed 'Controller Only'; corrected.</t>
  </si>
  <si>
    <t xml:space="preserve">P-07</t>
  </si>
  <si>
    <t xml:space="preserve">RAG knowledge base retrieval at inference</t>
  </si>
  <si>
    <t xml:space="preserve">Retrieval of historical clinical records, corporate insurance policy guidelines and medical adjudication underwriting references into the model context window, to ground the triage classification of a live claim.</t>
  </si>
  <si>
    <t xml:space="preserve">Policyholders whose historical clinical records are held in the retrieval corpus — a broader population than current claimants, since the corpus spans prior cycles.</t>
  </si>
  <si>
    <t xml:space="preserve">Historical clinical records: prior diagnoses, treatment histories, prior claim outcomes and adjudication decisions, chronic condition flags.
Corporate policy guidelines and underwriting reference material (non-personal).
Retrieved fragments are assembled into the context window alongside untrusted claimant free text at attack surface AS-03.</t>
  </si>
  <si>
    <t xml:space="preserve">Internal Claims team (via model output); no direct human access to retrieved fragments at inference time.</t>
  </si>
  <si>
    <t xml:space="preserve">Art 6(1)(b) for grounding the current claim decision; Art 6(1)(f) for maintenance of the retrieval corpus.</t>
  </si>
  <si>
    <t xml:space="preserve">Retrieval of a claimant's own history is contract-necessary to adjudicate their claim consistently. Retrieval of OTHER policyholders' records — where the corpus surfaces comparable historical cases — is a distinct matter resting on Art 6(1)(f), and raises a purpose-limitation question the DPIA does not currently address: whether one policyholder's clinical history may lawfully inform another's adjudication. Registered here so the question is visible rather than latent. Retrieval scope must be constrained to the claimant's own records unless a documented basis exists for wider retrieval.</t>
  </si>
  <si>
    <t xml:space="preserve">Data concerning health — Art 9(1).
Condition: Art 9(2)(g).</t>
  </si>
  <si>
    <t xml:space="preserve">Aligned to the retention of each source record (5 or 7 years as applicable). Vector index rebuilt quarterly.</t>
  </si>
  <si>
    <t xml:space="preserve">Retrieved fragments held in the context window for the duration of inference only; purged with the session cache.</t>
  </si>
  <si>
    <t xml:space="preserve">Derivative of source-record retention; no independent basis.</t>
  </si>
  <si>
    <t xml:space="preserve">Input to ADM with significant effects. Corpus tampering is a routing-integrity vector — see C3.1.</t>
  </si>
  <si>
    <t xml:space="preserve">Art 9 retrieval at scale; cross-claimant retrieval scope unresolved.</t>
  </si>
  <si>
    <t xml:space="preserve">P-08</t>
  </si>
  <si>
    <t xml:space="preserve">High-risk human review queue</t>
  </si>
  <si>
    <t xml:space="preserve">Presentation of AI-flagged high-risk claims to designated Senior Medical Adjudicators for human assessment prior to adjudication. This activity IS the Art 22(3) safeguard on which the deployment's lawfulness depends.</t>
  </si>
  <si>
    <t xml:space="preserve">Policyholders whose claims were flagged as high-risk by the model.</t>
  </si>
  <si>
    <t xml:space="preserve">Full claim narrative and supporting medical documentation as at P-01/P-02; model clinical-gravity score, high-risk flag and routing rationale; reviewer identity, decision, override indicator and timestamp.</t>
  </si>
  <si>
    <t xml:space="preserve">Senior Medical Adjudicators (restricted); Adjudication managers; audit function.</t>
  </si>
  <si>
    <t xml:space="preserve">Art 6(1)(b) — necessary for performance of the insurance contract; and required as an Art 22(3) safeguard.</t>
  </si>
  <si>
    <t xml:space="preserve">Human review is not merely an operational step: it is the control on which the claim that outputs 'influence but do not solely determine' outcomes rests. Registering it as a processing activity in its own right makes that dependency auditable. Its effectiveness is UNEVIDENCED — the package holds no review rate, no reviewer override rate, and no confirmation that reviewers hold the authority and competence to depart from the model's recommendation. Red-team testing showed the routing to this queue was bypassed in 14.2% of adversarial variations, which bears directly on whether the safeguard operates as described.</t>
  </si>
  <si>
    <t xml:space="preserve">Review record retained 5 years with the claim file.</t>
  </si>
  <si>
    <t xml:space="preserve">Art 22(3) evidential requirement; regulatory record retention.</t>
  </si>
  <si>
    <t xml:space="preserve">This activity is the human intervention relied on to displace Art 22(1). Effectiveness unevidenced — OD-03.</t>
  </si>
  <si>
    <t xml:space="preserve">The Art 22 safeguard itself. Access restricted to Senior Medical Adjudicators; ABAC and field-level encryption specified at DPIA GAP-03.</t>
  </si>
  <si>
    <t xml:space="preserve">P-09</t>
  </si>
  <si>
    <t xml:space="preserve">Inference and prompt telemetry logging</t>
  </si>
  <si>
    <t xml:space="preserve">Continuous logging of model runtime telemetry to Azure Monitor and Microsoft Defender for Cloud for security monitoring, anomaly detection and incident response.</t>
  </si>
  <si>
    <t xml:space="preserve">Policyholders whose claims generated the logged inference events, to the extent telemetry is linkable to them.</t>
  </si>
  <si>
    <t xml:space="preserve">Prompt length and token-count metrics; embedding vector representations; logit entropy distributions; inference latency and error traces; source IP, session identifier and request metadata; security alert records.
Embedding vectors are mathematical derivations of Art 9 narrative content and are treated as personal data in this register on the conservative reading — embedding inversion is an established attack class, so they are not assumed non-identifying.</t>
  </si>
  <si>
    <t xml:space="preserve">Internal SecOps; Microsoft Corporation (Azure Monitor / Defender for Cloud — Art 28 processor).</t>
  </si>
  <si>
    <t xml:space="preserve">Art 6(1)(f) — legitimate interests in network and information security (Recital 49).</t>
  </si>
  <si>
    <t xml:space="preserve">Recital 49 expressly recognises processing for information security as a legitimate interest. The balancing test is straightforward for metadata; it is less so for embedding vectors derived from Art 9 narratives, which is why they are registered rather than excluded. Retention is limited to what security monitoring requires.</t>
  </si>
  <si>
    <t xml:space="preserve">Data concerning health — Art 9(1), derived, where embedding telemetry is retained.
Condition: Art 9(2)(g), with Recital 49 supporting the Art 6 limb.</t>
  </si>
  <si>
    <t xml:space="preserve">90 days hot retention; 12 months archived for incident reconstruction.</t>
  </si>
  <si>
    <t xml:space="preserve">Security incident detection and reconstruction window; aligned to the 90-day Defender review cycle.</t>
  </si>
  <si>
    <t xml:space="preserve">No — telemetry does not itself produce a decision.</t>
  </si>
  <si>
    <t xml:space="preserve">Derived Art 9 data in security telemetry; embedding-inversion exposure not currently mitigated (no DP-SGD, C3.3).</t>
  </si>
  <si>
    <t xml:space="preserve">P-10</t>
  </si>
  <si>
    <t xml:space="preserve">Training corpus export to NovaTriage Analytics Ltd.</t>
  </si>
  <si>
    <t xml:space="preserve">Transfer of de-identified historical claim corpora to the external AI model development vendor for model development, fine-tuning and optimisation. Registered as a distinct activity from P-03 because the transfer, not the training, is the risk-bearing event.</t>
  </si>
  <si>
    <t xml:space="preserve">Policyholders whose historical claims and adjuster notes are included in the exported corpus.</t>
  </si>
  <si>
    <t xml:space="preserve">NER-masked claim narratives, supporting documentation text, adjuster notes and triage labels as described at P-03 and P-06. Direct identifiers substituted with synthetic category tokens; quasi-identifiers remain embedded in narrative prose.</t>
  </si>
  <si>
    <t xml:space="preserve">NovaTriage Analytics Ltd. — Art 28 processor. Sub-processors: undetermined, to be enumerated under the Art 28(2) authorisation regime.</t>
  </si>
  <si>
    <t xml:space="preserve">CHAPTER V DETERMINATION OUTSTANDING — OD-02. NovaTriage Analytics Ltd. carries a company suffix used in both the United Kingdom and Ireland, and the scenario package names no country. Ireland: intra-EU, Chapter V not engaged. United Kingdom: third country, adequacy reliance plus ongoing monitoring. This single unknown decides whether Chapter V applies at all, and it must be closed before the audit rather than recorded as 'none identified'.
If a third country: Art 46(2)(c) SCCs plus a transfer impact assessment, or reliance on an adequacy decision, with the instrument referenced here.</t>
  </si>
  <si>
    <t xml:space="preserve">Art 6(1)(f) — legitimate interests (as P-03/P-06).</t>
  </si>
  <si>
    <t xml:space="preserve">The transfer serves the same legitimate interest as the training purpose it supports and inherits the same LIA. It carries additional risk that the training purpose alone does not: once the corpus leaves Meridian's trust boundary, technical control is replaced by contractual control. The de-identification measure applied must therefore be one that survives export — which is why NER masking, not DP-SGD, is the operative control here. See De-Identification Matrix, and the technical correction recorded in the Change Log.</t>
  </si>
  <si>
    <t xml:space="preserve">Data concerning health — Art 9(1). Masked, not anonymised: the corpus remains personal data under Art 4(5) and Recital 26.
Condition: Art 9(2)(g).</t>
  </si>
  <si>
    <t xml:space="preserve">Transfer log retained 5 years. Exported corpus held by the processor for the contract term plus 30 days for certified deletion.</t>
  </si>
  <si>
    <t xml:space="preserve">Art 28(3)(g) return-or-delete obligation; auditability of cross-boundary transfers.</t>
  </si>
  <si>
    <t xml:space="preserve">No — export is not itself an automated decision.</t>
  </si>
  <si>
    <t xml:space="preserve">DPIA-VTA-2024-003; DPIA GAP-02</t>
  </si>
  <si>
    <t xml:space="preserve">Art 9 data crossing a trust boundary to an external processor with an unresolved Chapter V position. Highest-priority open item in this register.</t>
  </si>
  <si>
    <t xml:space="preserve">LAWFUL BASIS CLASSIFICATION WORKSHEET</t>
  </si>
  <si>
    <t xml:space="preserve">Per-element Article 6 and Article 9 determination. Corrections against the source draft are marked and reasoned — three classifications were changed.</t>
  </si>
  <si>
    <t xml:space="preserve">Record</t>
  </si>
  <si>
    <t xml:space="preserve">Data Element</t>
  </si>
  <si>
    <t xml:space="preserve">Art 6 Basis</t>
  </si>
  <si>
    <t xml:space="preserve">Classification Rationale</t>
  </si>
  <si>
    <t xml:space="preserve">Accountability Artifact on File</t>
  </si>
  <si>
    <t xml:space="preserve">Change vs Source Draft</t>
  </si>
  <si>
    <t xml:space="preserve">Claim Narrative Free-Text Body</t>
  </si>
  <si>
    <t xml:space="preserve">Art 6(1)(b) contract
(third parties: 6(1)(f))</t>
  </si>
  <si>
    <t xml:space="preserve">Data concerning health — Art 9(1)
Condition: Art 9(2)(g) substantial public interest (insurance)</t>
  </si>
  <si>
    <t xml:space="preserve">Claim adjudication is contractual performance; triage is a necessary preparatory step. The narrative describes presenting condition, symptoms, diagnosis, treatment and prognosis — health data on any reading. The source draft's Art 6(1)(f) was available but weaker: legitimate interests should not be reached for where contract necessity squarely applies, and using 6(1)(f) needlessly imports an Art 21 objection right into core claim handling.</t>
  </si>
  <si>
    <t xml:space="preserve">Legitimate Interest Assessment (third-party limb); Art 9(2)(g) appropriate policy document — TO BE PRODUCED (OD-01)</t>
  </si>
  <si>
    <t xml:space="preserve">CORRECTED. Source draft Tab 1 said 'Yes — 9(2)(g)'; Tab 2 and scenario §2.2 said 'No — N/A'. The same workbook contradicted itself. Resolved to Yes. Art 6 basis also moved from 6(1)(f) to 6(1)(b).</t>
  </si>
  <si>
    <t xml:space="preserve">Supporting Medical Documentation</t>
  </si>
  <si>
    <t xml:space="preserve">Art 6(1)(b) contract</t>
  </si>
  <si>
    <t xml:space="preserve">Data concerning health — Art 9(1); genetic data where lab results include genetic testing
Condition: Art 9(2)(g)</t>
  </si>
  <si>
    <t xml:space="preserve">Documentary evidence substantiating a claim. Higher clinical density than narrative text and frequently includes practitioner identifiers and full dates.</t>
  </si>
  <si>
    <t xml:space="preserve">Art 9(2)(g) appropriate policy document — TO BE PRODUCED</t>
  </si>
  <si>
    <t xml:space="preserve">ADDED. Absent from the source register entirely, despite the architecture specification listing multi-format PDF document ingest as a Stage 1 input.</t>
  </si>
  <si>
    <t xml:space="preserve">Narratives / documentation as training corpus</t>
  </si>
  <si>
    <t xml:space="preserve">Art 6(1)(f) legitimate interests</t>
  </si>
  <si>
    <t xml:space="preserve">Data concerning health — Art 9(1), de-identified but not anonymous
Condition: Art 9(2)(g)</t>
  </si>
  <si>
    <t xml:space="preserve">Secondary use. Art 6(1)(b) rejected: training on a closed claim is not necessary to perform the contract under which it arose. LIA supports 6(1)(f), resting on de-identification, absence of effect on the original claimant, and an operative Art 21 objection route.</t>
  </si>
  <si>
    <t xml:space="preserve">LIA; De-Identification Comparison Matrix; corpus freeze log</t>
  </si>
  <si>
    <t xml:space="preserve">SPLIT. The source draft registered only the training purpose for narratives and omitted the live operational triage use. Both now registered separately, since they carry different bases, retentions and recipients.</t>
  </si>
  <si>
    <t xml:space="preserve">Self-Reported Demographic Field</t>
  </si>
  <si>
    <t xml:space="preserve">Art 6(1)(a) explicit consent</t>
  </si>
  <si>
    <t xml:space="preserve">Racial or ethnic origin — Art 9(1)
Condition: Art 9(2)(a) explicit consent</t>
  </si>
  <si>
    <t xml:space="preserve">Standalone opt-in, separate from claim submission, no detriment on refusal, withdrawal linked to the retraining pipeline. Consent is valid here precisely because the processing is genuinely optional — which would not be true of P-01.</t>
  </si>
  <si>
    <t xml:space="preserve">Consent management system records; special category consent ledger</t>
  </si>
  <si>
    <t xml:space="preserve">RETAINED as drafted. Purpose ambiguity raised as OD-07: training feature versus fairness-monitoring dimension are materially different operations and cannot both stand.</t>
  </si>
  <si>
    <t xml:space="preserve">Automated Triage Output / Clinical-Gravity Scores</t>
  </si>
  <si>
    <t xml:space="preserve">Art 6(1)(b) for the decision; 6(1)(f) for evaluation retention</t>
  </si>
  <si>
    <t xml:space="preserve">Data concerning health — Art 9(1), DERIVED
Condition: Art 9(2)(g); Art 22(4) additionally engaged</t>
  </si>
  <si>
    <t xml:space="preserve">A classification expressing clinical gravity, computed from health narratives and attached to an identified policyholder, reveals health status. Data revealing a special category is special category data whether collected or inferred. This is the more contestable of the two Art 9 corrections and is therefore documented as a reasoned position — an auditor will ask either way, and a reasoned answer survives the question where silence does not.</t>
  </si>
  <si>
    <t xml:space="preserve">LIA; DPIA-VTA-2024-003; decision record store</t>
  </si>
  <si>
    <t xml:space="preserve">CORRECTED. Source draft: 'No — N/A (Derived Internal Operational Sorting Index)'. Reclassified to Art 9.</t>
  </si>
  <si>
    <t xml:space="preserve">Historic Adjuster Notes</t>
  </si>
  <si>
    <t xml:space="preserve">Data concerning health — Art 9(1)
Condition: Art 9(2)(g)</t>
  </si>
  <si>
    <t xml:space="preserve">Art 9 admits no conditional state: it applies to a category of data or it does not. Redaction is a minimisation control, not a de-flagging basis, and NER false negatives are a live residual risk in our own De-Identification Matrix, so completeness cannot be assumed. Additional weight in the balancing test because the notes contain subjective adjuster commentary the claimant has never seen.</t>
  </si>
  <si>
    <t xml:space="preserve">LIA; structural redaction audit log (Redaction-Audit-2026-CMS)</t>
  </si>
  <si>
    <t xml:space="preserve">CORRECTED. Source draft: 'Conditional — Post-Redaction Review Required'. Reclassified to Yes.</t>
  </si>
  <si>
    <t xml:space="preserve">RAG Knowledge Base Retrieval</t>
  </si>
  <si>
    <t xml:space="preserve">Art 6(1)(b) for own-record grounding; 6(1)(f) for corpus maintenance</t>
  </si>
  <si>
    <t xml:space="preserve">Retrieval of a claimant's own history is contract-necessary. Retrieval of OTHER policyholders' comparable records is a distinct question the DPIA does not address — whether one policyholder's clinical history may lawfully inform another's adjudication. Retrieval scope should be constrained to the claimant's own records absent a documented basis.</t>
  </si>
  <si>
    <t xml:space="preserve">LIA; retrieval scope configuration record — TO BE PRODUCED</t>
  </si>
  <si>
    <t xml:space="preserve">ADDED. Absent from the source register despite being a named Stage 3 system callout.</t>
  </si>
  <si>
    <t xml:space="preserve">High-Risk Human Review Queue</t>
  </si>
  <si>
    <t xml:space="preserve">Art 6(1)(b) contract; Art 22(3) safeguard</t>
  </si>
  <si>
    <t xml:space="preserve">This activity IS the safeguard on which the deployment's Art 22 position depends. Registering it makes that dependency auditable rather than assumed. Effectiveness is unevidenced (OD-03), and red-team testing bypassed routing to it in 14.2% of adversarial variations.</t>
  </si>
  <si>
    <t xml:space="preserve">Review decision log; reviewer authority matrix — TO BE PRODUCED (OD-03)</t>
  </si>
  <si>
    <t xml:space="preserve">ADDED. Absent from the source register.</t>
  </si>
  <si>
    <t xml:space="preserve">Inference and Prompt Telemetry</t>
  </si>
  <si>
    <t xml:space="preserve">Art 6(1)(f) — security (Recital 49)</t>
  </si>
  <si>
    <t xml:space="preserve">Data concerning health — Art 9(1), derived via embeddings
Condition: Art 9(2)(g); Recital 49 supports the Art 6 limb</t>
  </si>
  <si>
    <t xml:space="preserve">Recital 49 expressly recognises information security as a legitimate interest. Straightforward for metadata; less so for embedding vectors derived from Art 9 narratives, which are treated as personal data here on the conservative reading — embedding inversion is an established attack class and non-identifiability is not assumed.</t>
  </si>
  <si>
    <t xml:space="preserve">Security monitoring policy; telemetry retention schedule</t>
  </si>
  <si>
    <t xml:space="preserve">Training Corpus Export to NovaTriage</t>
  </si>
  <si>
    <t xml:space="preserve">Data concerning health — Art 9(1), masked but not anonymised
Condition: Art 9(2)(g)</t>
  </si>
  <si>
    <t xml:space="preserve">Inherits the P-03/P-06 LIA but carries risk the training purpose alone does not: once the corpus leaves the trust boundary, technical control is replaced by contractual control. The de-identification measure must therefore survive export — NER masking, not DP-SGD.</t>
  </si>
  <si>
    <t xml:space="preserve">Art 28 DPA with NovaTriage; Chapter V instrument — OUTSTANDING (OD-02)</t>
  </si>
  <si>
    <t xml:space="preserve">ADDED as a distinct activity. The source register folded the transfer into the training purpose, which obscured the Chapter V question.</t>
  </si>
  <si>
    <t xml:space="preserve">ARTICLE 9 SPECIAL CATEGORY FIELD INVENTORY</t>
  </si>
  <si>
    <t xml:space="preserve">Named data elements, not category labels. 'Health data is processed' is not an Article 30 record; this sheet is what makes the register auditable.</t>
  </si>
  <si>
    <t xml:space="preserve">Art 9 Category</t>
  </si>
  <si>
    <t xml:space="preserve">Specific Data Element</t>
  </si>
  <si>
    <t xml:space="preserve">Where It Arises</t>
  </si>
  <si>
    <t xml:space="preserve">Record(s)</t>
  </si>
  <si>
    <t xml:space="preserve">Structured or Free-Text</t>
  </si>
  <si>
    <t xml:space="preserve">Volunteered or Solicited</t>
  </si>
  <si>
    <t xml:space="preserve">Minimisation Applied</t>
  </si>
  <si>
    <t xml:space="preserve">Notes</t>
  </si>
  <si>
    <t xml:space="preserve">Data concerning health</t>
  </si>
  <si>
    <t xml:space="preserve">Presenting condition / chief complaint</t>
  </si>
  <si>
    <t xml:space="preserve">Claim narrative body</t>
  </si>
  <si>
    <t xml:space="preserve">P-01, P-03</t>
  </si>
  <si>
    <t xml:space="preserve">Free-text</t>
  </si>
  <si>
    <t xml:space="preserve">Solicited</t>
  </si>
  <si>
    <t xml:space="preserve">NER masking before corpus inclusion</t>
  </si>
  <si>
    <t xml:space="preserve">Core triage signal; cannot be suppressed without destroying model utility.</t>
  </si>
  <si>
    <t xml:space="preserve">Symptom description, onset and severity</t>
  </si>
  <si>
    <t xml:space="preserve">NER masking</t>
  </si>
  <si>
    <t xml:space="preserve">Primary driver of the clinical-gravity classification.</t>
  </si>
  <si>
    <t xml:space="preserve">Injury mechanism, body site and laterality</t>
  </si>
  <si>
    <t xml:space="preserve">Rare injury combinations are a named re-identification vector (R-DEID-01).</t>
  </si>
  <si>
    <t xml:space="preserve">Diagnosis — free-text and ICD-coded</t>
  </si>
  <si>
    <t xml:space="preserve">Narrative and supporting documentation</t>
  </si>
  <si>
    <t xml:space="preserve">P-01, P-02, P-03</t>
  </si>
  <si>
    <t xml:space="preserve">Both</t>
  </si>
  <si>
    <t xml:space="preserve">NER masking; codes retained</t>
  </si>
  <si>
    <t xml:space="preserve">Codes are retained deliberately: they carry clinical signal with lower re-identification risk than prose.</t>
  </si>
  <si>
    <t xml:space="preserve">Treatment, procedures and surgical history</t>
  </si>
  <si>
    <t xml:space="preserve">Supporting documentation</t>
  </si>
  <si>
    <t xml:space="preserve">P-02, P-03</t>
  </si>
  <si>
    <t xml:space="preserve">Discharge summaries and operative notes.</t>
  </si>
  <si>
    <t xml:space="preserve">Medication names and dosages</t>
  </si>
  <si>
    <t xml:space="preserve">Narrative and prescription records</t>
  </si>
  <si>
    <t xml:space="preserve">P-01, P-02</t>
  </si>
  <si>
    <t xml:space="preserve">Medication can reveal a condition not otherwise stated — e.g. antiretrovirals, antipsychotics.</t>
  </si>
  <si>
    <t xml:space="preserve">Admission, discharge and treatment dates</t>
  </si>
  <si>
    <t xml:space="preserve">Documentation and narrative</t>
  </si>
  <si>
    <t xml:space="preserve">Date generalisation to month/year in corpus</t>
  </si>
  <si>
    <t xml:space="preserve">Full dates are a strong quasi-identifier when combined with facility.</t>
  </si>
  <si>
    <t xml:space="preserve">Treating practitioner and facility identifiers</t>
  </si>
  <si>
    <t xml:space="preserve">Clinical letters, invoices</t>
  </si>
  <si>
    <t xml:space="preserve">Structured</t>
  </si>
  <si>
    <t xml:space="preserve">Substituted with [CLINIC_ID], [PRACTITIONER]</t>
  </si>
  <si>
    <t xml:space="preserve">Also personal data of the clinician — a third-party data subject.</t>
  </si>
  <si>
    <t xml:space="preserve">Prognosis and expected recovery period</t>
  </si>
  <si>
    <t xml:space="preserve">Narrative and specialist reports</t>
  </si>
  <si>
    <t xml:space="preserve">Feeds priority scoring.</t>
  </si>
  <si>
    <t xml:space="preserve">Functional limitation and incapacity for work</t>
  </si>
  <si>
    <t xml:space="preserve">Sick notes, fitness certificates</t>
  </si>
  <si>
    <t xml:space="preserve">Employment context may also identify the employer.</t>
  </si>
  <si>
    <t xml:space="preserve">Prior diagnoses and chronic condition flags</t>
  </si>
  <si>
    <t xml:space="preserve">RAG retrieval corpus</t>
  </si>
  <si>
    <t xml:space="preserve">Derived from history</t>
  </si>
  <si>
    <t xml:space="preserve">Retrieval scope restriction — TO BE CONFIRMED</t>
  </si>
  <si>
    <t xml:space="preserve">Cross-claimant retrieval scope unresolved; see P-07 rationale.</t>
  </si>
  <si>
    <t xml:space="preserve">Adjuster clinical observations and severity assessment</t>
  </si>
  <si>
    <t xml:space="preserve">Historic adjuster notes</t>
  </si>
  <si>
    <t xml:space="preserve">Internally authored</t>
  </si>
  <si>
    <t xml:space="preserve">Redaction pipeline; audit log</t>
  </si>
  <si>
    <t xml:space="preserve">Contains subjective evaluative commentary alongside clinical fact.</t>
  </si>
  <si>
    <t xml:space="preserve">Data concerning health — DERIVED</t>
  </si>
  <si>
    <t xml:space="preserve">Clinical-gravity classification and priority score</t>
  </si>
  <si>
    <t xml:space="preserve">Model output</t>
  </si>
  <si>
    <t xml:space="preserve">Derived</t>
  </si>
  <si>
    <t xml:space="preserve">None — retention is itself an Art 22(3) safeguard</t>
  </si>
  <si>
    <t xml:space="preserve">Reclassified to Art 9 in this register. Reveals health status by construction.</t>
  </si>
  <si>
    <t xml:space="preserve">High-risk review flag and queue assignment</t>
  </si>
  <si>
    <t xml:space="preserve">Model output / routing</t>
  </si>
  <si>
    <t xml:space="preserve">P-05, P-08</t>
  </si>
  <si>
    <t xml:space="preserve">Access restriction to Senior Medical Adjudicators</t>
  </si>
  <si>
    <t xml:space="preserve">Queue assignment alone discloses assessed gravity.</t>
  </si>
  <si>
    <t xml:space="preserve">Embedding vectors of narrative content</t>
  </si>
  <si>
    <t xml:space="preserve">Inference telemetry</t>
  </si>
  <si>
    <t xml:space="preserve">None currently — no DP-SGD (C3.3)</t>
  </si>
  <si>
    <t xml:space="preserve">Treated as personal data on the conservative reading; embedding inversion is an established attack class.</t>
  </si>
  <si>
    <t xml:space="preserve">Genetic data</t>
  </si>
  <si>
    <t xml:space="preserve">Laboratory and pathology results including genetic testing</t>
  </si>
  <si>
    <t xml:space="preserve">Distinct Art 9(1) category from health data. Arises where a claim involves hereditary conditions.</t>
  </si>
  <si>
    <t xml:space="preserve">Racial or ethnic origin</t>
  </si>
  <si>
    <t xml:space="preserve">Self-reported ethnicity category</t>
  </si>
  <si>
    <t xml:space="preserve">Demographic monitoring form</t>
  </si>
  <si>
    <t xml:space="preserve">Volunteered, optional</t>
  </si>
  <si>
    <t xml:space="preserve">Consent-gated; withdrawal propagated to retraining</t>
  </si>
  <si>
    <t xml:space="preserve">OD-07: whether this is a model input feature or a monitoring dimension is unresolved and material.</t>
  </si>
  <si>
    <t xml:space="preserve">Self-reported national or ethnic background</t>
  </si>
  <si>
    <t xml:space="preserve">As above</t>
  </si>
  <si>
    <t xml:space="preserve">As above.</t>
  </si>
  <si>
    <t xml:space="preserve">INCIDENTAL — mental health</t>
  </si>
  <si>
    <t xml:space="preserve">References to mental health condition, treatment or medication</t>
  </si>
  <si>
    <t xml:space="preserve">Claim narrative, unprompted</t>
  </si>
  <si>
    <t xml:space="preserve">P-01, P-03, P-06</t>
  </si>
  <si>
    <t xml:space="preserve">Volunteered unprompted</t>
  </si>
  <si>
    <t xml:space="preserve">NER masking only — not specifically detected</t>
  </si>
  <si>
    <t xml:space="preserve">Not solicited but routinely present. No control currently targets it.</t>
  </si>
  <si>
    <t xml:space="preserve">INCIDENTAL — pregnancy and maternity</t>
  </si>
  <si>
    <t xml:space="preserve">Pregnancy, maternity and reproductive health references</t>
  </si>
  <si>
    <t xml:space="preserve">NER masking only</t>
  </si>
  <si>
    <t xml:space="preserve">INCIDENTAL — substance use</t>
  </si>
  <si>
    <t xml:space="preserve">References to alcohol or substance use</t>
  </si>
  <si>
    <t xml:space="preserve">Claim narrative and adjuster notes</t>
  </si>
  <si>
    <t xml:space="preserve">P-01, P-06</t>
  </si>
  <si>
    <t xml:space="preserve">Particularly sensitive in adjuster notes, where it may carry evaluative judgement.</t>
  </si>
  <si>
    <t xml:space="preserve">INCIDENTAL — sex life / sexual orientation</t>
  </si>
  <si>
    <t xml:space="preserve">References arising in the course of describing a related condition</t>
  </si>
  <si>
    <t xml:space="preserve">A separate Art 9(1) category. Rare but foreseeable.</t>
  </si>
  <si>
    <t xml:space="preserve">INCIDENTAL — religious or philosophical belief</t>
  </si>
  <si>
    <t xml:space="preserve">Belief-based refusal of a treatment or procedure</t>
  </si>
  <si>
    <t xml:space="preserve">Arises where the narrative explains a declined intervention.</t>
  </si>
  <si>
    <t xml:space="preserve">INCIDENTAL — trade union membership</t>
  </si>
  <si>
    <t xml:space="preserve">Union involvement in occupational injury or workplace claims</t>
  </si>
  <si>
    <t xml:space="preserve">Arises in occupational injury claims and representation references.</t>
  </si>
  <si>
    <t xml:space="preserve">Third-party special category</t>
  </si>
  <si>
    <t xml:space="preserve">Health data of dependants, beneficiaries and named third parties</t>
  </si>
  <si>
    <t xml:space="preserve">Claim narrative and documentation</t>
  </si>
  <si>
    <t xml:space="preserve">Incidental</t>
  </si>
  <si>
    <t xml:space="preserve">NER masking; no notice route</t>
  </si>
  <si>
    <t xml:space="preserve">These individuals have no consent, no notice and no realistic Art 14 route. Art 14(5)(b) disproportionate-effort relief must be documented rather than assumed.</t>
  </si>
  <si>
    <t xml:space="preserve">Rows shaded amber are Article 9 categories the deployment does not solicit but foreseeably receives, because claimants write freely. No control currently targets them specifically — the NER pipeline is tuned for direct identifiers, not for suppressing unsolicited special-category disclosure. Rows shaded red concern people who are not party to the contract and have no practical route to notice. Both are recorded here rather than omitted, because an Article 30 register that lists only the data the controller intended to collect is not an accurate record of what it processes.</t>
  </si>
  <si>
    <t xml:space="preserve">OPEN DETERMINATIONS AFFECTING THIS REGISTER</t>
  </si>
  <si>
    <t xml:space="preserve">Facts the scenario package does not supply. Recorded as unresolved rather than assumed — an assumed answer that turns out wrong is worse than a declared gap.</t>
  </si>
  <si>
    <t xml:space="preserve">Ref</t>
  </si>
  <si>
    <t xml:space="preserve">Question</t>
  </si>
  <si>
    <t xml:space="preserve">Records Affected</t>
  </si>
  <si>
    <t xml:space="preserve">Why It Matters</t>
  </si>
  <si>
    <t xml:space="preserve">If Answer A</t>
  </si>
  <si>
    <t xml:space="preserve">If Answer B</t>
  </si>
  <si>
    <t xml:space="preserve">Owner</t>
  </si>
  <si>
    <t xml:space="preserve">Due</t>
  </si>
  <si>
    <t xml:space="preserve">OD-01</t>
  </si>
  <si>
    <t xml:space="preserve">Which Member State is Meridian's main establishment, and what is the lead supervisory authority?</t>
  </si>
  <si>
    <t xml:space="preserve">All</t>
  </si>
  <si>
    <t xml:space="preserve">Determines Art 56 one-stop-shop routing, which authority receives an Art 36 prior consultation if one becomes necessary, and which Member State law supplies the substantial-public-interest basis that Art 9(2)(g) requires. Art 9(2)(g) is not self-executing: without a named national provision and an appropriate policy document, the condition relied on for eight of ten records is unsupported.</t>
  </si>
  <si>
    <t xml:space="preserve">EU establishment identified → Art 9(2)(g) basis and policy document produced against that Member State's insurance provisions.</t>
  </si>
  <si>
    <t xml:space="preserve">Multiple establishments without a clear main one → each supervisory authority is separately competent; no one-stop-shop.</t>
  </si>
  <si>
    <t xml:space="preserve">Lead Data Privacy Officer</t>
  </si>
  <si>
    <t xml:space="preserve">Before audit</t>
  </si>
  <si>
    <t xml:space="preserve">OD-02</t>
  </si>
  <si>
    <t xml:space="preserve">In which country is NovaTriage Analytics Ltd. incorporated, and where does it process?</t>
  </si>
  <si>
    <t xml:space="preserve">P-03, P-06, P-10</t>
  </si>
  <si>
    <t xml:space="preserve">Decides whether Chapter V is engaged at all. The suffix 'Ltd.' is used in both the United Kingdom and Ireland and the scenario names no country. This is the single highest-value unknown in the register: it converts the transfers column from an assertion into a determination.</t>
  </si>
  <si>
    <t xml:space="preserve">Ireland or another EU/EEA state → intra-EU transfer, Chapter V not engaged, Art 28 DPA sufficient.</t>
  </si>
  <si>
    <t xml:space="preserve">United Kingdom or other third country → adequacy reliance or Art 46(2)(c) SCCs plus a transfer impact assessment, with ongoing monitoring.</t>
  </si>
  <si>
    <t xml:space="preserve">OD-03</t>
  </si>
  <si>
    <t xml:space="preserve">What proportion of flagged claims receive substantive human review, and do reviewers hold authority and competence to override the model?</t>
  </si>
  <si>
    <t xml:space="preserve">THE DETERMINATION THAT CAN CHANGE THE VERDICT. The package's central legal claim is that outputs 'influence but do not solely determine' outcomes. That claim requires meaningful human involvement by someone empowered to depart from the model. The system is the sole screening layer with no fallback, it dispatches transactional instructions rather than recommendations, and red-teamers bypassed routing to review in 14.2% of adversarial variations. No review rate, override rate or reviewer authority matrix exists in the package.</t>
  </si>
  <si>
    <t xml:space="preserve">Evidenced meaningful review → Art 22(1) displaced; current framing holds.</t>
  </si>
  <si>
    <t xml:space="preserve">Review is nominal or unevidenced → Art 22(1) applies. An Art 22(2) ground is required, Art 22(4) restricts processing to 9(2)(a) or 9(2)(g) grounds, and Art 22(3) safeguards must be demonstrated.</t>
  </si>
  <si>
    <t xml:space="preserve">AI Governance Lead</t>
  </si>
  <si>
    <t xml:space="preserve">Before audit — blocking</t>
  </si>
  <si>
    <t xml:space="preserve">OD-04</t>
  </si>
  <si>
    <t xml:space="preserve">Which Azure region hosts inference and telemetry, and what is the Microsoft sub-processor chain?</t>
  </si>
  <si>
    <t xml:space="preserve">P-01, P-02, P-05, P-09</t>
  </si>
  <si>
    <t xml:space="preserve">Defender for Cloud and Azure Monitor ingest telemetry derived from Art 9 narratives, including embedding vectors. If any element of that chain sits outside the EEA, Chapter V applies to security telemetry as well as to the vendor export — a transfer route that is easy to overlook because no one thinks of monitoring as a transfer.</t>
  </si>
  <si>
    <t xml:space="preserve">EEA-resident with no onward transfer → no Chapter V issue for telemetry.</t>
  </si>
  <si>
    <t xml:space="preserve">Non-EEA processing or support access → transfer mechanism required, and Microsoft's own transfer instruments must be referenced.</t>
  </si>
  <si>
    <t xml:space="preserve">Chief Information Security Officer</t>
  </si>
  <si>
    <t xml:space="preserve">OD-05</t>
  </si>
  <si>
    <t xml:space="preserve">Which specific jurisdictions comprise the 'additional jurisdictions' outside the EU?</t>
  </si>
  <si>
    <t xml:space="preserve">Determines which non-EU regimes apply alongside GDPR and whether any impose conflicting retention or disclosure obligations that would undercut the retention schedule in this register.</t>
  </si>
  <si>
    <t xml:space="preserve">Jurisdictions named → regime mapping completed and conflicts identified.</t>
  </si>
  <si>
    <t xml:space="preserve">Not named → the register cannot claim completeness for non-EU processing.</t>
  </si>
  <si>
    <t xml:space="preserve">OD-06</t>
  </si>
  <si>
    <t xml:space="preserve">Is a documented negative determination on EU AI Act Annex III classification on file?</t>
  </si>
  <si>
    <t xml:space="preserve">Annex III 5(c) covers risk assessment and pricing in life and health insurance; 5(d) covers emergency healthcare patient triage. ClaimsTriage is squarely neither — it routes claims post-issuance. But it 'determines clinical gravity' and is called a triage system, so the question will be asked. A documented negative determination answers it; silence looks like an oversight.</t>
  </si>
  <si>
    <t xml:space="preserve">Determination documented → question closed with reasoning on file.</t>
  </si>
  <si>
    <t xml:space="preserve">Not documented → AI Act readiness gap, separate from this package's GDPR scope.</t>
  </si>
  <si>
    <t xml:space="preserve">Post-audit (scoped out)</t>
  </si>
  <si>
    <t xml:space="preserve">OD-07</t>
  </si>
  <si>
    <t xml:space="preserve">Is the self-reported ethnicity field a model input feature, or only a downstream fairness-monitoring dimension?</t>
  </si>
  <si>
    <t xml:space="preserve">The source draft records both 'AI-assisted model training' and 'diversity monitoring dimension' as the purpose. These are materially different operations. If ethnicity is a training feature in a system that prioritises claims, the deployment carries direct discrimination risk under Art 5(1)(a) and engages Art 22(4) on a special-category input. If it is used only to test outputs for disparate impact, it is a fairness control and a point in the deployment's favour.</t>
  </si>
  <si>
    <t xml:space="preserve">Monitoring dimension only → a fairness safeguard; ADM indicator becomes No; recommend documenting the exclusion technically.</t>
  </si>
  <si>
    <t xml:space="preserve">Model input feature → recommend removal from the feature set, plus a documented disparate-impact assessment on models already trained with it.</t>
  </si>
  <si>
    <t xml:space="preserve">AI Governance Lead / Principal AI Architect</t>
  </si>
  <si>
    <t xml:space="preserve">REGISTER SUMMARY</t>
  </si>
  <si>
    <t xml:space="preserve">Counts computed from the Article 30 Register sheet. Figures update if that sheet changes.</t>
  </si>
  <si>
    <t xml:space="preserve">Metric</t>
  </si>
  <si>
    <t xml:space="preserve">Value</t>
  </si>
  <si>
    <t xml:space="preserve">Total processing activities registered</t>
  </si>
  <si>
    <t xml:space="preserve">Activities present in the source draft</t>
  </si>
  <si>
    <t xml:space="preserve">Net new records added during this review</t>
  </si>
  <si>
    <t xml:space="preserve">Records flagged Article 9</t>
  </si>
  <si>
    <t xml:space="preserve">Records NOT flagged Article 9</t>
  </si>
  <si>
    <t xml:space="preserve">Art 9 coverage of the register</t>
  </si>
  <si>
    <t xml:space="preserve">Records routed DPO Required</t>
  </si>
  <si>
    <t xml:space="preserve">Records where the transfer position is undetermined (OD-04)</t>
  </si>
  <si>
    <t xml:space="preserve">Art 9 classifications corrected against source</t>
  </si>
  <si>
    <t xml:space="preserve">Open determinations affecting the register</t>
  </si>
  <si>
    <t xml:space="preserve">Records with a known transfer and an outstanding mechanism (OD-02)</t>
  </si>
  <si>
    <t xml:space="preserve">Hardcoded values: 'Activities present in the source draft' = 4 and 'Art 9 classifications corrected' = 3 are counts of what the supplied template contained (source: RoPA_Partial_Spreadsheet_Template.xlsx, rows 2-5 of both tabs). They describe the prior document, not this register, so they are entered directly. Net new records = 6 comprises five previously unregistered activities (P-02, P-07, P-08, P-09, P-10) plus the split of the source's single claim-narrative record into operational use (P-01) and training reuse (P-03).</t>
  </si>
  <si>
    <t xml:space="preserve">Headline for the GDPR section: every one of the ten registered processing activities involves Article 9 special category data. There is no low-sensitivity remainder of this deployment to which lighter controls could be applied.</t>
  </si>
  <si>
    <t xml:space="preserve">CHANGE LOG — THIS REGISTER AGAINST THE SUPPLIED DRAFT</t>
  </si>
  <si>
    <t xml:space="preserve">Every departure from the supplied template, with reasoning. An auditor comparing the two documents is entitled to this.</t>
  </si>
  <si>
    <t xml:space="preserve">#</t>
  </si>
  <si>
    <t xml:space="preserve">Change</t>
  </si>
  <si>
    <t xml:space="preserve">Source Draft Said</t>
  </si>
  <si>
    <t xml:space="preserve">This Register Says</t>
  </si>
  <si>
    <t xml:space="preserve">Reason</t>
  </si>
  <si>
    <t xml:space="preserve">Article 9 flag, claim narratives</t>
  </si>
  <si>
    <t xml:space="preserve">Tab 1: 'Yes — 9(2)(g)'. Tab 2 and scenario §2.2: 'No — N/A'.</t>
  </si>
  <si>
    <t xml:space="preserve">Yes — data concerning health, Art 9(2)(g).</t>
  </si>
  <si>
    <t xml:space="preserve">The supplied workbook contradicted itself between its own two tabs. A system that processes clinical narratives and medical documentation and determines clinical gravity is processing health data. The contradiction alone would have failed the audit before the substance was reached.</t>
  </si>
  <si>
    <t xml:space="preserve">Article 9 flag, triage scores</t>
  </si>
  <si>
    <t xml:space="preserve">'No — N/A (Derived Internal Operational Sorting Index)'.</t>
  </si>
  <si>
    <t xml:space="preserve">Yes — data concerning health, derived.</t>
  </si>
  <si>
    <t xml:space="preserve">A clinical-gravity score computed from health narratives and attached to a named policyholder reveals health status. Inferred special-category data is special-category data. Taken as a documented position because it is contestable.</t>
  </si>
  <si>
    <t xml:space="preserve">Article 9 flag, adjuster notes</t>
  </si>
  <si>
    <t xml:space="preserve">'Conditional — Post-Redaction Review Required'.</t>
  </si>
  <si>
    <t xml:space="preserve">Yes, with redaction recorded as the control.</t>
  </si>
  <si>
    <t xml:space="preserve">Article 9 has no conditional state. Redaction is a control that reduces risk, not a fact that removes the category — particularly where our own de-identification analysis records NER false negatives as a live residual risk.</t>
  </si>
  <si>
    <t xml:space="preserve">Live triage processing registered</t>
  </si>
  <si>
    <t xml:space="preserve">Only the training purpose was registered for claim narratives.</t>
  </si>
  <si>
    <t xml:space="preserve">P-01 registers the operational triage use; P-03 registers the training reuse.</t>
  </si>
  <si>
    <t xml:space="preserve">The register documented the secondary use and omitted the primary one. The two carry different lawful bases, retentions, recipients and ADM status and cannot share a record.</t>
  </si>
  <si>
    <t xml:space="preserve">Article 6 basis, claim narratives</t>
  </si>
  <si>
    <t xml:space="preserve">Art 6(1)(f) legitimate interests.</t>
  </si>
  <si>
    <t xml:space="preserve">Art 6(1)(b) contract for the claimant; 6(1)(f) for third parties named in narratives.</t>
  </si>
  <si>
    <t xml:space="preserve">Legitimate interests should not be reached for where contract necessity squarely applies. Using 6(1)(f) for core claim handling needlessly imports an Art 21 objection right into a process the controller cannot decline to perform.</t>
  </si>
  <si>
    <t xml:space="preserve">Five activities added</t>
  </si>
  <si>
    <t xml:space="preserve">Four records.</t>
  </si>
  <si>
    <t xml:space="preserve">Ten records: P-02, P-07, P-08, P-09, P-10 added.</t>
  </si>
  <si>
    <t xml:space="preserve">Medical-documentation ingest, RAG retrieval, the human review queue, inference telemetry and the vendor export are all live processing of Art 9 data. The document ingest omission is the starkest: the architecture specification names it as a Stage 1 input.</t>
  </si>
  <si>
    <t xml:space="preserve">Third-party data subjects added</t>
  </si>
  <si>
    <t xml:space="preserve">Policyholders only.</t>
  </si>
  <si>
    <t xml:space="preserve">Policyholders plus third parties named in narratives.</t>
  </si>
  <si>
    <t xml:space="preserve">Free-text clinical narratives routinely name dependants, clinicians, employers and witnesses. Their health data is processed with no consent, no notice and no realistic Art 14 route; Art 14(5)(b) relief must be documented rather than assumed.</t>
  </si>
  <si>
    <t xml:space="preserve">Transfers column</t>
  </si>
  <si>
    <t xml:space="preserve">'None identified at this stage' on all four records.</t>
  </si>
  <si>
    <t xml:space="preserve">UNDETERMINED, pending OD-02 and OD-04, with both branches set out.</t>
  </si>
  <si>
    <t xml:space="preserve">'None identified at this stage' records that no assessment was performed. It is not a finding and cannot be presented to an auditor as one. The honest entry names the unknown and what turns on it.</t>
  </si>
  <si>
    <t xml:space="preserve">Art 30(1) completeness</t>
  </si>
  <si>
    <t xml:space="preserve">Controller contact, transfer safeguards and security measures columns absent.</t>
  </si>
  <si>
    <t xml:space="preserve">Columns C, H and T added.</t>
  </si>
  <si>
    <t xml:space="preserve">Art 30(1)(a), (e) and (g) are mandatory record content. The security-measures omission was the most consequential: nothing connected the defence-in-depth posture to the processing register.</t>
  </si>
  <si>
    <t xml:space="preserve">Security measures state deficiencies</t>
  </si>
  <si>
    <t xml:space="preserve">No security column existed.</t>
  </si>
  <si>
    <t xml:space="preserve">Applied controls AND known deficiencies both listed.</t>
  </si>
  <si>
    <t xml:space="preserve">Art 30(1)(g) asks for a general description of the measures in place. Listing only what works, on a date when six controls are non-compliant or partial, would misstate the record. Accountability under Art 5(2) means the register reflects the actual posture.</t>
  </si>
  <si>
    <t xml:space="preserve">DPO routing corrected</t>
  </si>
  <si>
    <t xml:space="preserve">Triage output and adjuster notes routed 'Controller Only'.</t>
  </si>
  <si>
    <t xml:space="preserve">Both routed DPO Required.</t>
  </si>
  <si>
    <t xml:space="preserve">Automated evaluation with significant effects under Art 35(3)(a) is the strongest DPO trigger in the register, and it was the one record not routed to the DPO.</t>
  </si>
  <si>
    <t xml:space="preserve">Retention disambiguated</t>
  </si>
  <si>
    <t xml:space="preserve">5-year retention alongside a control promising zero retention beyond the routing window.</t>
  </si>
  <si>
    <t xml:space="preserve">Separate columns for system-of-record and intermediate-cache retention.</t>
  </si>
  <si>
    <t xml:space="preserve">As drafted the two read as a direct contradiction. They are different stores with different purposes; the register now says so explicitly in every affected record.</t>
  </si>
  <si>
    <t xml:space="preserve">DPIA reference unified</t>
  </si>
  <si>
    <t xml:space="preserve">'DPIA-VTA-2024-003' in the register, 'DPIA-MHP-003' in scenario §2.2.</t>
  </si>
  <si>
    <t xml:space="preserve">DPIA-VTA-2024-003 throughout.</t>
  </si>
  <si>
    <t xml:space="preserve">Two references to one assessment. The register's own value is adopted as canonical.</t>
  </si>
  <si>
    <t xml:space="preserve">Controller name</t>
  </si>
  <si>
    <t xml:space="preserve">'Contoso Health Partners Ltd.'</t>
  </si>
  <si>
    <t xml:space="preserve">Meridian Health Partners Ltd.</t>
  </si>
  <si>
    <t xml:space="preserve">Per the package canon: matches the MHP- document reference prefix and the inline narrative in the scenario package.</t>
  </si>
</sst>
</file>

<file path=xl/styles.xml><?xml version="1.0" encoding="utf-8"?>
<styleSheet xmlns="http://schemas.openxmlformats.org/spreadsheetml/2006/main">
  <numFmts count="3">
    <numFmt numFmtId="164" formatCode="General"/>
    <numFmt numFmtId="165" formatCode="General"/>
    <numFmt numFmtId="166" formatCode="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i val="true"/>
      <sz val="8"/>
      <color rgb="FF833C00"/>
      <name val="Arial"/>
      <family val="0"/>
      <charset val="1"/>
    </font>
    <font>
      <b val="true"/>
      <sz val="9"/>
      <color rgb="FFFFFFFF"/>
      <name val="Arial"/>
      <family val="0"/>
      <charset val="1"/>
    </font>
    <font>
      <b val="true"/>
      <sz val="9"/>
      <color rgb="FF1F3864"/>
      <name val="Arial"/>
      <family val="0"/>
      <charset val="1"/>
    </font>
    <font>
      <sz val="8"/>
      <name val="Arial"/>
      <family val="0"/>
      <charset val="1"/>
    </font>
    <font>
      <b val="true"/>
      <sz val="9"/>
      <color rgb="FFC00000"/>
      <name val="Arial"/>
      <family val="0"/>
      <charset val="1"/>
    </font>
    <font>
      <b val="true"/>
      <sz val="8"/>
      <color rgb="FF1F3864"/>
      <name val="Arial"/>
      <family val="0"/>
      <charset val="1"/>
    </font>
    <font>
      <b val="true"/>
      <sz val="10"/>
      <color rgb="FFFFFFFF"/>
      <name val="Arial"/>
      <family val="0"/>
      <charset val="1"/>
    </font>
    <font>
      <sz val="9"/>
      <name val="Arial"/>
      <family val="0"/>
      <charset val="1"/>
    </font>
    <font>
      <b val="true"/>
      <sz val="9"/>
      <name val="Arial"/>
      <family val="0"/>
      <charset val="1"/>
    </font>
  </fonts>
  <fills count="5">
    <fill>
      <patternFill patternType="none"/>
    </fill>
    <fill>
      <patternFill patternType="gray125"/>
    </fill>
    <fill>
      <patternFill patternType="solid">
        <fgColor rgb="FF2E5496"/>
        <bgColor rgb="FF1F3864"/>
      </patternFill>
    </fill>
    <fill>
      <patternFill patternType="solid">
        <fgColor rgb="FFFFF2CC"/>
        <bgColor rgb="FFFBE4E4"/>
      </patternFill>
    </fill>
    <fill>
      <patternFill patternType="solid">
        <fgColor rgb="FFFBE4E4"/>
        <bgColor rgb="FFFFF2CC"/>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center" vertical="bottom" textRotation="0" wrapText="false" indent="0" shrinkToFit="false"/>
      <protection locked="true" hidden="false"/>
    </xf>
    <xf numFmtId="166" fontId="14" fillId="0"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4E4"/>
      <rgbColor rgb="FF3366FF"/>
      <rgbColor rgb="FF33CCCC"/>
      <rgbColor rgb="FF99CC00"/>
      <rgbColor rgb="FFFFCC00"/>
      <rgbColor rgb="FFFF9900"/>
      <rgbColor rgb="FFFF6600"/>
      <rgbColor rgb="FF595959"/>
      <rgbColor rgb="FFA6A6A6"/>
      <rgbColor rgb="FF1F3864"/>
      <rgbColor rgb="FF339966"/>
      <rgbColor rgb="FF003300"/>
      <rgbColor rgb="FF333300"/>
      <rgbColor rgb="FF833C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5"/>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6"/>
    <col collapsed="false" customWidth="true" hidden="false" outlineLevel="0" max="3" min="3" style="1" width="20"/>
    <col collapsed="false" customWidth="true" hidden="false" outlineLevel="0" max="4" min="4" style="1" width="34"/>
    <col collapsed="false" customWidth="true" hidden="false" outlineLevel="0" max="5" min="5" style="1" width="26"/>
    <col collapsed="false" customWidth="true" hidden="false" outlineLevel="0" max="6" min="6" style="1" width="52"/>
    <col collapsed="false" customWidth="true" hidden="false" outlineLevel="0" max="7" min="7" style="1" width="26"/>
    <col collapsed="false" customWidth="true" hidden="false" outlineLevel="0" max="8" min="8" style="1" width="28"/>
    <col collapsed="false" customWidth="true" hidden="false" outlineLevel="0" max="9" min="9" style="1" width="20"/>
    <col collapsed="false" customWidth="true" hidden="false" outlineLevel="0" max="10" min="10" style="1" width="42"/>
    <col collapsed="false" customWidth="true" hidden="false" outlineLevel="0" max="11" min="11" style="1" width="8"/>
    <col collapsed="false" customWidth="true" hidden="false" outlineLevel="0" max="12" min="12" style="1" width="30"/>
    <col collapsed="false" customWidth="true" hidden="false" outlineLevel="0" max="15" min="13" style="1" width="22"/>
    <col collapsed="false" customWidth="true" hidden="false" outlineLevel="0" max="16" min="16" style="1" width="24"/>
    <col collapsed="false" customWidth="true" hidden="false" outlineLevel="0" max="17" min="17" style="1" width="18"/>
    <col collapsed="false" customWidth="true" hidden="false" outlineLevel="0" max="18" min="18" style="1" width="14"/>
    <col collapsed="false" customWidth="true" hidden="false" outlineLevel="0" max="19" min="19" style="1" width="26"/>
    <col collapsed="false" customWidth="true" hidden="false" outlineLevel="0" max="20" min="20" style="1" width="52"/>
  </cols>
  <sheetData>
    <row r="1" customFormat="false" ht="19.5" hidden="false" customHeight="true" outlineLevel="0" collapsed="false">
      <c r="A1" s="2" t="s">
        <v>0</v>
      </c>
    </row>
    <row r="2" customFormat="false" ht="15" hidden="false" customHeight="true" outlineLevel="0" collapsed="false">
      <c r="A2" s="3" t="s">
        <v>1</v>
      </c>
    </row>
    <row r="3" customFormat="false" ht="30" hidden="false" customHeight="true" outlineLevel="0" collapsed="false">
      <c r="A3" s="4" t="s">
        <v>2</v>
      </c>
      <c r="B3" s="4"/>
      <c r="C3" s="4"/>
      <c r="D3" s="4"/>
      <c r="E3" s="4"/>
      <c r="F3" s="4"/>
      <c r="G3" s="4"/>
      <c r="H3" s="4"/>
      <c r="I3" s="4"/>
      <c r="J3" s="4"/>
      <c r="K3" s="4"/>
      <c r="L3" s="4"/>
      <c r="M3" s="4"/>
      <c r="N3" s="4"/>
      <c r="O3" s="4"/>
      <c r="P3" s="4"/>
      <c r="Q3" s="4"/>
      <c r="R3" s="4"/>
      <c r="S3" s="4"/>
      <c r="T3" s="4"/>
    </row>
    <row r="5" customFormat="false" ht="57.75" hidden="false" customHeight="true" outlineLevel="0" collapsed="false">
      <c r="A5" s="5" t="s">
        <v>3</v>
      </c>
      <c r="B5" s="5" t="s">
        <v>4</v>
      </c>
      <c r="C5" s="5" t="s">
        <v>5</v>
      </c>
      <c r="D5" s="5" t="s">
        <v>6</v>
      </c>
      <c r="E5" s="5" t="s">
        <v>7</v>
      </c>
      <c r="F5" s="5" t="s">
        <v>8</v>
      </c>
      <c r="G5" s="5" t="s">
        <v>9</v>
      </c>
      <c r="H5" s="5" t="s">
        <v>10</v>
      </c>
      <c r="I5" s="5" t="s">
        <v>11</v>
      </c>
      <c r="J5" s="5" t="s">
        <v>12</v>
      </c>
      <c r="K5" s="5" t="s">
        <v>13</v>
      </c>
      <c r="L5" s="5" t="s">
        <v>14</v>
      </c>
      <c r="M5" s="5" t="s">
        <v>15</v>
      </c>
      <c r="N5" s="5" t="s">
        <v>16</v>
      </c>
      <c r="O5" s="5" t="s">
        <v>17</v>
      </c>
      <c r="P5" s="5" t="s">
        <v>18</v>
      </c>
      <c r="Q5" s="5" t="s">
        <v>19</v>
      </c>
      <c r="R5" s="5" t="s">
        <v>20</v>
      </c>
      <c r="S5" s="5" t="s">
        <v>21</v>
      </c>
      <c r="T5" s="5" t="s">
        <v>22</v>
      </c>
    </row>
    <row r="6" customFormat="false" ht="289.5" hidden="false" customHeight="true" outlineLevel="0" collapsed="false">
      <c r="A6" s="6" t="s">
        <v>23</v>
      </c>
      <c r="B6" s="7" t="s">
        <v>24</v>
      </c>
      <c r="C6" s="7" t="s">
        <v>25</v>
      </c>
      <c r="D6" s="7" t="s">
        <v>26</v>
      </c>
      <c r="E6" s="7" t="s">
        <v>27</v>
      </c>
      <c r="F6" s="7" t="s">
        <v>28</v>
      </c>
      <c r="G6" s="7" t="s">
        <v>29</v>
      </c>
      <c r="H6" s="8" t="s">
        <v>30</v>
      </c>
      <c r="I6" s="7" t="s">
        <v>31</v>
      </c>
      <c r="J6" s="7" t="s">
        <v>32</v>
      </c>
      <c r="K6" s="9" t="s">
        <v>33</v>
      </c>
      <c r="L6" s="7" t="s">
        <v>34</v>
      </c>
      <c r="M6" s="7" t="s">
        <v>35</v>
      </c>
      <c r="N6" s="7" t="s">
        <v>36</v>
      </c>
      <c r="O6" s="7" t="s">
        <v>37</v>
      </c>
      <c r="P6" s="7" t="s">
        <v>38</v>
      </c>
      <c r="Q6" s="7" t="s">
        <v>39</v>
      </c>
      <c r="R6" s="7" t="s">
        <v>40</v>
      </c>
      <c r="S6" s="7" t="s">
        <v>41</v>
      </c>
      <c r="T6" s="7" t="s">
        <v>42</v>
      </c>
    </row>
    <row r="7" customFormat="false" ht="289.5" hidden="false" customHeight="true" outlineLevel="0" collapsed="false">
      <c r="A7" s="6" t="s">
        <v>43</v>
      </c>
      <c r="B7" s="7" t="s">
        <v>44</v>
      </c>
      <c r="C7" s="7" t="s">
        <v>25</v>
      </c>
      <c r="D7" s="7" t="s">
        <v>45</v>
      </c>
      <c r="E7" s="7" t="s">
        <v>46</v>
      </c>
      <c r="F7" s="7" t="s">
        <v>47</v>
      </c>
      <c r="G7" s="7" t="s">
        <v>48</v>
      </c>
      <c r="H7" s="8" t="s">
        <v>30</v>
      </c>
      <c r="I7" s="7" t="s">
        <v>49</v>
      </c>
      <c r="J7" s="7" t="s">
        <v>50</v>
      </c>
      <c r="K7" s="9" t="s">
        <v>33</v>
      </c>
      <c r="L7" s="7" t="s">
        <v>51</v>
      </c>
      <c r="M7" s="7" t="s">
        <v>52</v>
      </c>
      <c r="N7" s="7" t="s">
        <v>53</v>
      </c>
      <c r="O7" s="7" t="s">
        <v>54</v>
      </c>
      <c r="P7" s="7" t="s">
        <v>55</v>
      </c>
      <c r="Q7" s="7" t="s">
        <v>39</v>
      </c>
      <c r="R7" s="7" t="s">
        <v>40</v>
      </c>
      <c r="S7" s="7" t="s">
        <v>56</v>
      </c>
      <c r="T7" s="7" t="s">
        <v>42</v>
      </c>
    </row>
    <row r="8" customFormat="false" ht="289.5" hidden="false" customHeight="true" outlineLevel="0" collapsed="false">
      <c r="A8" s="6" t="s">
        <v>57</v>
      </c>
      <c r="B8" s="7" t="s">
        <v>58</v>
      </c>
      <c r="C8" s="7" t="s">
        <v>25</v>
      </c>
      <c r="D8" s="7" t="s">
        <v>59</v>
      </c>
      <c r="E8" s="7" t="s">
        <v>60</v>
      </c>
      <c r="F8" s="7" t="s">
        <v>61</v>
      </c>
      <c r="G8" s="7" t="s">
        <v>62</v>
      </c>
      <c r="H8" s="8" t="s">
        <v>30</v>
      </c>
      <c r="I8" s="7" t="s">
        <v>63</v>
      </c>
      <c r="J8" s="7" t="s">
        <v>64</v>
      </c>
      <c r="K8" s="9" t="s">
        <v>33</v>
      </c>
      <c r="L8" s="7" t="s">
        <v>65</v>
      </c>
      <c r="M8" s="7" t="s">
        <v>66</v>
      </c>
      <c r="N8" s="7" t="s">
        <v>67</v>
      </c>
      <c r="O8" s="7" t="s">
        <v>68</v>
      </c>
      <c r="P8" s="7" t="s">
        <v>69</v>
      </c>
      <c r="Q8" s="7" t="s">
        <v>39</v>
      </c>
      <c r="R8" s="7" t="s">
        <v>40</v>
      </c>
      <c r="S8" s="7" t="s">
        <v>70</v>
      </c>
      <c r="T8" s="7" t="s">
        <v>42</v>
      </c>
    </row>
    <row r="9" customFormat="false" ht="289.5" hidden="false" customHeight="true" outlineLevel="0" collapsed="false">
      <c r="A9" s="6" t="s">
        <v>71</v>
      </c>
      <c r="B9" s="7" t="s">
        <v>72</v>
      </c>
      <c r="C9" s="7" t="s">
        <v>25</v>
      </c>
      <c r="D9" s="7" t="s">
        <v>73</v>
      </c>
      <c r="E9" s="7" t="s">
        <v>74</v>
      </c>
      <c r="F9" s="7" t="s">
        <v>75</v>
      </c>
      <c r="G9" s="7" t="s">
        <v>76</v>
      </c>
      <c r="H9" s="8" t="s">
        <v>30</v>
      </c>
      <c r="I9" s="7" t="s">
        <v>77</v>
      </c>
      <c r="J9" s="7" t="s">
        <v>78</v>
      </c>
      <c r="K9" s="9" t="s">
        <v>33</v>
      </c>
      <c r="L9" s="7" t="s">
        <v>79</v>
      </c>
      <c r="M9" s="7" t="s">
        <v>80</v>
      </c>
      <c r="N9" s="7" t="s">
        <v>81</v>
      </c>
      <c r="O9" s="7" t="s">
        <v>82</v>
      </c>
      <c r="P9" s="7" t="s">
        <v>83</v>
      </c>
      <c r="Q9" s="7" t="s">
        <v>39</v>
      </c>
      <c r="R9" s="7" t="s">
        <v>40</v>
      </c>
      <c r="S9" s="7" t="s">
        <v>84</v>
      </c>
      <c r="T9" s="7" t="s">
        <v>42</v>
      </c>
    </row>
    <row r="10" customFormat="false" ht="289.5" hidden="false" customHeight="true" outlineLevel="0" collapsed="false">
      <c r="A10" s="6" t="s">
        <v>85</v>
      </c>
      <c r="B10" s="7" t="s">
        <v>86</v>
      </c>
      <c r="C10" s="7" t="s">
        <v>25</v>
      </c>
      <c r="D10" s="7" t="s">
        <v>87</v>
      </c>
      <c r="E10" s="7" t="s">
        <v>88</v>
      </c>
      <c r="F10" s="7" t="s">
        <v>89</v>
      </c>
      <c r="G10" s="7" t="s">
        <v>90</v>
      </c>
      <c r="H10" s="8" t="s">
        <v>30</v>
      </c>
      <c r="I10" s="7" t="s">
        <v>91</v>
      </c>
      <c r="J10" s="7" t="s">
        <v>92</v>
      </c>
      <c r="K10" s="9" t="s">
        <v>33</v>
      </c>
      <c r="L10" s="7" t="s">
        <v>93</v>
      </c>
      <c r="M10" s="7" t="s">
        <v>94</v>
      </c>
      <c r="N10" s="7" t="s">
        <v>95</v>
      </c>
      <c r="O10" s="7" t="s">
        <v>96</v>
      </c>
      <c r="P10" s="7" t="s">
        <v>97</v>
      </c>
      <c r="Q10" s="7" t="s">
        <v>39</v>
      </c>
      <c r="R10" s="7" t="s">
        <v>40</v>
      </c>
      <c r="S10" s="7" t="s">
        <v>98</v>
      </c>
      <c r="T10" s="7" t="s">
        <v>42</v>
      </c>
    </row>
    <row r="11" customFormat="false" ht="289.5" hidden="false" customHeight="true" outlineLevel="0" collapsed="false">
      <c r="A11" s="6" t="s">
        <v>99</v>
      </c>
      <c r="B11" s="7" t="s">
        <v>100</v>
      </c>
      <c r="C11" s="7" t="s">
        <v>25</v>
      </c>
      <c r="D11" s="7" t="s">
        <v>101</v>
      </c>
      <c r="E11" s="7" t="s">
        <v>102</v>
      </c>
      <c r="F11" s="7" t="s">
        <v>103</v>
      </c>
      <c r="G11" s="7" t="s">
        <v>104</v>
      </c>
      <c r="H11" s="8" t="s">
        <v>30</v>
      </c>
      <c r="I11" s="7" t="s">
        <v>63</v>
      </c>
      <c r="J11" s="7" t="s">
        <v>105</v>
      </c>
      <c r="K11" s="9" t="s">
        <v>33</v>
      </c>
      <c r="L11" s="7" t="s">
        <v>106</v>
      </c>
      <c r="M11" s="7" t="s">
        <v>107</v>
      </c>
      <c r="N11" s="7" t="s">
        <v>81</v>
      </c>
      <c r="O11" s="7" t="s">
        <v>108</v>
      </c>
      <c r="P11" s="7" t="s">
        <v>69</v>
      </c>
      <c r="Q11" s="7" t="s">
        <v>109</v>
      </c>
      <c r="R11" s="7" t="s">
        <v>40</v>
      </c>
      <c r="S11" s="7" t="s">
        <v>110</v>
      </c>
      <c r="T11" s="7" t="s">
        <v>42</v>
      </c>
    </row>
    <row r="12" customFormat="false" ht="289.5" hidden="false" customHeight="true" outlineLevel="0" collapsed="false">
      <c r="A12" s="6" t="s">
        <v>111</v>
      </c>
      <c r="B12" s="7" t="s">
        <v>112</v>
      </c>
      <c r="C12" s="7" t="s">
        <v>25</v>
      </c>
      <c r="D12" s="7" t="s">
        <v>113</v>
      </c>
      <c r="E12" s="7" t="s">
        <v>114</v>
      </c>
      <c r="F12" s="7" t="s">
        <v>115</v>
      </c>
      <c r="G12" s="7" t="s">
        <v>116</v>
      </c>
      <c r="H12" s="8" t="s">
        <v>30</v>
      </c>
      <c r="I12" s="7" t="s">
        <v>117</v>
      </c>
      <c r="J12" s="7" t="s">
        <v>118</v>
      </c>
      <c r="K12" s="9" t="s">
        <v>33</v>
      </c>
      <c r="L12" s="7" t="s">
        <v>119</v>
      </c>
      <c r="M12" s="7" t="s">
        <v>120</v>
      </c>
      <c r="N12" s="7" t="s">
        <v>121</v>
      </c>
      <c r="O12" s="7" t="s">
        <v>122</v>
      </c>
      <c r="P12" s="7" t="s">
        <v>123</v>
      </c>
      <c r="Q12" s="7" t="s">
        <v>39</v>
      </c>
      <c r="R12" s="7" t="s">
        <v>40</v>
      </c>
      <c r="S12" s="7" t="s">
        <v>124</v>
      </c>
      <c r="T12" s="7" t="s">
        <v>42</v>
      </c>
    </row>
    <row r="13" customFormat="false" ht="289.5" hidden="false" customHeight="true" outlineLevel="0" collapsed="false">
      <c r="A13" s="6" t="s">
        <v>125</v>
      </c>
      <c r="B13" s="7" t="s">
        <v>126</v>
      </c>
      <c r="C13" s="7" t="s">
        <v>25</v>
      </c>
      <c r="D13" s="7" t="s">
        <v>127</v>
      </c>
      <c r="E13" s="7" t="s">
        <v>128</v>
      </c>
      <c r="F13" s="7" t="s">
        <v>129</v>
      </c>
      <c r="G13" s="7" t="s">
        <v>130</v>
      </c>
      <c r="H13" s="8" t="s">
        <v>30</v>
      </c>
      <c r="I13" s="7" t="s">
        <v>131</v>
      </c>
      <c r="J13" s="7" t="s">
        <v>132</v>
      </c>
      <c r="K13" s="9" t="s">
        <v>33</v>
      </c>
      <c r="L13" s="7" t="s">
        <v>119</v>
      </c>
      <c r="M13" s="7" t="s">
        <v>133</v>
      </c>
      <c r="N13" s="7" t="s">
        <v>81</v>
      </c>
      <c r="O13" s="7" t="s">
        <v>134</v>
      </c>
      <c r="P13" s="7" t="s">
        <v>135</v>
      </c>
      <c r="Q13" s="7" t="s">
        <v>39</v>
      </c>
      <c r="R13" s="7" t="s">
        <v>40</v>
      </c>
      <c r="S13" s="7" t="s">
        <v>136</v>
      </c>
      <c r="T13" s="7" t="s">
        <v>42</v>
      </c>
    </row>
    <row r="14" customFormat="false" ht="289.5" hidden="false" customHeight="true" outlineLevel="0" collapsed="false">
      <c r="A14" s="6" t="s">
        <v>137</v>
      </c>
      <c r="B14" s="7" t="s">
        <v>138</v>
      </c>
      <c r="C14" s="7" t="s">
        <v>25</v>
      </c>
      <c r="D14" s="7" t="s">
        <v>139</v>
      </c>
      <c r="E14" s="7" t="s">
        <v>140</v>
      </c>
      <c r="F14" s="7" t="s">
        <v>141</v>
      </c>
      <c r="G14" s="7" t="s">
        <v>142</v>
      </c>
      <c r="H14" s="8" t="s">
        <v>30</v>
      </c>
      <c r="I14" s="7" t="s">
        <v>143</v>
      </c>
      <c r="J14" s="7" t="s">
        <v>144</v>
      </c>
      <c r="K14" s="9" t="s">
        <v>33</v>
      </c>
      <c r="L14" s="7" t="s">
        <v>145</v>
      </c>
      <c r="M14" s="7" t="s">
        <v>146</v>
      </c>
      <c r="N14" s="7" t="s">
        <v>81</v>
      </c>
      <c r="O14" s="7" t="s">
        <v>147</v>
      </c>
      <c r="P14" s="7" t="s">
        <v>148</v>
      </c>
      <c r="Q14" s="7" t="s">
        <v>39</v>
      </c>
      <c r="R14" s="7" t="s">
        <v>40</v>
      </c>
      <c r="S14" s="7" t="s">
        <v>149</v>
      </c>
      <c r="T14" s="7" t="s">
        <v>42</v>
      </c>
    </row>
    <row r="15" customFormat="false" ht="289.5" hidden="false" customHeight="true" outlineLevel="0" collapsed="false">
      <c r="A15" s="6" t="s">
        <v>150</v>
      </c>
      <c r="B15" s="7" t="s">
        <v>151</v>
      </c>
      <c r="C15" s="7" t="s">
        <v>25</v>
      </c>
      <c r="D15" s="7" t="s">
        <v>152</v>
      </c>
      <c r="E15" s="7" t="s">
        <v>153</v>
      </c>
      <c r="F15" s="7" t="s">
        <v>154</v>
      </c>
      <c r="G15" s="7" t="s">
        <v>155</v>
      </c>
      <c r="H15" s="8" t="s">
        <v>156</v>
      </c>
      <c r="I15" s="7" t="s">
        <v>157</v>
      </c>
      <c r="J15" s="7" t="s">
        <v>158</v>
      </c>
      <c r="K15" s="9" t="s">
        <v>33</v>
      </c>
      <c r="L15" s="7" t="s">
        <v>159</v>
      </c>
      <c r="M15" s="7" t="s">
        <v>160</v>
      </c>
      <c r="N15" s="7" t="s">
        <v>81</v>
      </c>
      <c r="O15" s="7" t="s">
        <v>161</v>
      </c>
      <c r="P15" s="7" t="s">
        <v>162</v>
      </c>
      <c r="Q15" s="7" t="s">
        <v>163</v>
      </c>
      <c r="R15" s="7" t="s">
        <v>40</v>
      </c>
      <c r="S15" s="7" t="s">
        <v>164</v>
      </c>
      <c r="T15" s="7" t="s">
        <v>42</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22"/>
    <col collapsed="false" customWidth="true" hidden="false" outlineLevel="0" max="4" min="4" style="1" width="9"/>
    <col collapsed="false" customWidth="true" hidden="false" outlineLevel="0" max="5" min="5" style="1" width="30"/>
    <col collapsed="false" customWidth="true" hidden="false" outlineLevel="0" max="6" min="6" style="1" width="58"/>
    <col collapsed="false" customWidth="true" hidden="false" outlineLevel="0" max="7" min="7" style="1" width="30"/>
    <col collapsed="false" customWidth="true" hidden="false" outlineLevel="0" max="8" min="8" style="1" width="42"/>
  </cols>
  <sheetData>
    <row r="1" customFormat="false" ht="17.25" hidden="false" customHeight="true" outlineLevel="0" collapsed="false">
      <c r="A1" s="2" t="s">
        <v>165</v>
      </c>
    </row>
    <row r="2" customFormat="false" ht="25.5" hidden="false" customHeight="true" outlineLevel="0" collapsed="false">
      <c r="A2" s="10" t="s">
        <v>166</v>
      </c>
    </row>
    <row r="4" customFormat="false" ht="36" hidden="false" customHeight="true" outlineLevel="0" collapsed="false">
      <c r="A4" s="5" t="s">
        <v>167</v>
      </c>
      <c r="B4" s="5" t="s">
        <v>168</v>
      </c>
      <c r="C4" s="5" t="s">
        <v>169</v>
      </c>
      <c r="D4" s="5" t="s">
        <v>13</v>
      </c>
      <c r="E4" s="5" t="s">
        <v>14</v>
      </c>
      <c r="F4" s="5" t="s">
        <v>170</v>
      </c>
      <c r="G4" s="5" t="s">
        <v>171</v>
      </c>
      <c r="H4" s="5" t="s">
        <v>172</v>
      </c>
    </row>
    <row r="5" customFormat="false" ht="139.5" hidden="false" customHeight="true" outlineLevel="0" collapsed="false">
      <c r="A5" s="6" t="s">
        <v>23</v>
      </c>
      <c r="B5" s="7" t="s">
        <v>173</v>
      </c>
      <c r="C5" s="7" t="s">
        <v>174</v>
      </c>
      <c r="D5" s="9" t="s">
        <v>33</v>
      </c>
      <c r="E5" s="7" t="s">
        <v>175</v>
      </c>
      <c r="F5" s="7" t="s">
        <v>176</v>
      </c>
      <c r="G5" s="7" t="s">
        <v>177</v>
      </c>
      <c r="H5" s="8" t="s">
        <v>178</v>
      </c>
    </row>
    <row r="6" customFormat="false" ht="139.5" hidden="false" customHeight="true" outlineLevel="0" collapsed="false">
      <c r="A6" s="6" t="s">
        <v>43</v>
      </c>
      <c r="B6" s="7" t="s">
        <v>179</v>
      </c>
      <c r="C6" s="7" t="s">
        <v>180</v>
      </c>
      <c r="D6" s="9" t="s">
        <v>33</v>
      </c>
      <c r="E6" s="7" t="s">
        <v>181</v>
      </c>
      <c r="F6" s="7" t="s">
        <v>182</v>
      </c>
      <c r="G6" s="7" t="s">
        <v>183</v>
      </c>
      <c r="H6" s="8" t="s">
        <v>184</v>
      </c>
    </row>
    <row r="7" customFormat="false" ht="139.5" hidden="false" customHeight="true" outlineLevel="0" collapsed="false">
      <c r="A7" s="6" t="s">
        <v>57</v>
      </c>
      <c r="B7" s="7" t="s">
        <v>185</v>
      </c>
      <c r="C7" s="7" t="s">
        <v>186</v>
      </c>
      <c r="D7" s="9" t="s">
        <v>33</v>
      </c>
      <c r="E7" s="7" t="s">
        <v>187</v>
      </c>
      <c r="F7" s="7" t="s">
        <v>188</v>
      </c>
      <c r="G7" s="7" t="s">
        <v>189</v>
      </c>
      <c r="H7" s="8" t="s">
        <v>190</v>
      </c>
    </row>
    <row r="8" customFormat="false" ht="139.5" hidden="false" customHeight="true" outlineLevel="0" collapsed="false">
      <c r="A8" s="6" t="s">
        <v>71</v>
      </c>
      <c r="B8" s="7" t="s">
        <v>191</v>
      </c>
      <c r="C8" s="7" t="s">
        <v>192</v>
      </c>
      <c r="D8" s="9" t="s">
        <v>33</v>
      </c>
      <c r="E8" s="7" t="s">
        <v>193</v>
      </c>
      <c r="F8" s="7" t="s">
        <v>194</v>
      </c>
      <c r="G8" s="7" t="s">
        <v>195</v>
      </c>
      <c r="H8" s="8" t="s">
        <v>196</v>
      </c>
    </row>
    <row r="9" customFormat="false" ht="139.5" hidden="false" customHeight="true" outlineLevel="0" collapsed="false">
      <c r="A9" s="6" t="s">
        <v>85</v>
      </c>
      <c r="B9" s="7" t="s">
        <v>197</v>
      </c>
      <c r="C9" s="7" t="s">
        <v>198</v>
      </c>
      <c r="D9" s="9" t="s">
        <v>33</v>
      </c>
      <c r="E9" s="7" t="s">
        <v>199</v>
      </c>
      <c r="F9" s="7" t="s">
        <v>200</v>
      </c>
      <c r="G9" s="7" t="s">
        <v>201</v>
      </c>
      <c r="H9" s="8" t="s">
        <v>202</v>
      </c>
    </row>
    <row r="10" customFormat="false" ht="139.5" hidden="false" customHeight="true" outlineLevel="0" collapsed="false">
      <c r="A10" s="6" t="s">
        <v>99</v>
      </c>
      <c r="B10" s="7" t="s">
        <v>203</v>
      </c>
      <c r="C10" s="7" t="s">
        <v>186</v>
      </c>
      <c r="D10" s="9" t="s">
        <v>33</v>
      </c>
      <c r="E10" s="7" t="s">
        <v>204</v>
      </c>
      <c r="F10" s="7" t="s">
        <v>205</v>
      </c>
      <c r="G10" s="7" t="s">
        <v>206</v>
      </c>
      <c r="H10" s="8" t="s">
        <v>207</v>
      </c>
    </row>
    <row r="11" customFormat="false" ht="139.5" hidden="false" customHeight="true" outlineLevel="0" collapsed="false">
      <c r="A11" s="6" t="s">
        <v>111</v>
      </c>
      <c r="B11" s="7" t="s">
        <v>208</v>
      </c>
      <c r="C11" s="7" t="s">
        <v>209</v>
      </c>
      <c r="D11" s="9" t="s">
        <v>33</v>
      </c>
      <c r="E11" s="7" t="s">
        <v>204</v>
      </c>
      <c r="F11" s="7" t="s">
        <v>210</v>
      </c>
      <c r="G11" s="7" t="s">
        <v>211</v>
      </c>
      <c r="H11" s="8" t="s">
        <v>212</v>
      </c>
    </row>
    <row r="12" customFormat="false" ht="139.5" hidden="false" customHeight="true" outlineLevel="0" collapsed="false">
      <c r="A12" s="6" t="s">
        <v>125</v>
      </c>
      <c r="B12" s="7" t="s">
        <v>213</v>
      </c>
      <c r="C12" s="7" t="s">
        <v>214</v>
      </c>
      <c r="D12" s="9" t="s">
        <v>33</v>
      </c>
      <c r="E12" s="7" t="s">
        <v>204</v>
      </c>
      <c r="F12" s="7" t="s">
        <v>215</v>
      </c>
      <c r="G12" s="7" t="s">
        <v>216</v>
      </c>
      <c r="H12" s="8" t="s">
        <v>217</v>
      </c>
    </row>
    <row r="13" customFormat="false" ht="139.5" hidden="false" customHeight="true" outlineLevel="0" collapsed="false">
      <c r="A13" s="6" t="s">
        <v>137</v>
      </c>
      <c r="B13" s="7" t="s">
        <v>218</v>
      </c>
      <c r="C13" s="7" t="s">
        <v>219</v>
      </c>
      <c r="D13" s="9" t="s">
        <v>33</v>
      </c>
      <c r="E13" s="7" t="s">
        <v>220</v>
      </c>
      <c r="F13" s="7" t="s">
        <v>221</v>
      </c>
      <c r="G13" s="7" t="s">
        <v>222</v>
      </c>
      <c r="H13" s="8" t="s">
        <v>217</v>
      </c>
    </row>
    <row r="14" customFormat="false" ht="139.5" hidden="false" customHeight="true" outlineLevel="0" collapsed="false">
      <c r="A14" s="6" t="s">
        <v>150</v>
      </c>
      <c r="B14" s="7" t="s">
        <v>223</v>
      </c>
      <c r="C14" s="7" t="s">
        <v>186</v>
      </c>
      <c r="D14" s="9" t="s">
        <v>33</v>
      </c>
      <c r="E14" s="7" t="s">
        <v>224</v>
      </c>
      <c r="F14" s="7" t="s">
        <v>225</v>
      </c>
      <c r="G14" s="7" t="s">
        <v>226</v>
      </c>
      <c r="H14" s="8"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8"/>
    <col collapsed="false" customWidth="true" hidden="false" outlineLevel="0" max="3" min="3" style="1" width="28"/>
    <col collapsed="false" customWidth="true" hidden="false" outlineLevel="0" max="4" min="4" style="1" width="12"/>
    <col collapsed="false" customWidth="true" hidden="false" outlineLevel="0" max="5" min="5" style="1" width="18"/>
    <col collapsed="false" customWidth="true" hidden="false" outlineLevel="0" max="6" min="6" style="1" width="20"/>
    <col collapsed="false" customWidth="true" hidden="false" outlineLevel="0" max="7" min="7" style="1" width="34"/>
    <col collapsed="false" customWidth="true" hidden="false" outlineLevel="0" max="8" min="8" style="1" width="44"/>
  </cols>
  <sheetData>
    <row r="1" customFormat="false" ht="17.25" hidden="false" customHeight="true" outlineLevel="0" collapsed="false">
      <c r="A1" s="2" t="s">
        <v>228</v>
      </c>
    </row>
    <row r="2" customFormat="false" ht="25.5" hidden="false" customHeight="true" outlineLevel="0" collapsed="false">
      <c r="A2" s="10" t="s">
        <v>229</v>
      </c>
    </row>
    <row r="4" customFormat="false" ht="36" hidden="false" customHeight="true" outlineLevel="0" collapsed="false">
      <c r="A4" s="5" t="s">
        <v>230</v>
      </c>
      <c r="B4" s="5" t="s">
        <v>231</v>
      </c>
      <c r="C4" s="5" t="s">
        <v>232</v>
      </c>
      <c r="D4" s="5" t="s">
        <v>233</v>
      </c>
      <c r="E4" s="5" t="s">
        <v>234</v>
      </c>
      <c r="F4" s="5" t="s">
        <v>235</v>
      </c>
      <c r="G4" s="5" t="s">
        <v>236</v>
      </c>
      <c r="H4" s="5" t="s">
        <v>237</v>
      </c>
    </row>
    <row r="5" customFormat="false" ht="48" hidden="false" customHeight="true" outlineLevel="0" collapsed="false">
      <c r="A5" s="11" t="s">
        <v>238</v>
      </c>
      <c r="B5" s="7" t="s">
        <v>239</v>
      </c>
      <c r="C5" s="7" t="s">
        <v>240</v>
      </c>
      <c r="D5" s="7" t="s">
        <v>241</v>
      </c>
      <c r="E5" s="7" t="s">
        <v>242</v>
      </c>
      <c r="F5" s="7" t="s">
        <v>243</v>
      </c>
      <c r="G5" s="7" t="s">
        <v>244</v>
      </c>
      <c r="H5" s="7" t="s">
        <v>245</v>
      </c>
    </row>
    <row r="6" customFormat="false" ht="48" hidden="false" customHeight="true" outlineLevel="0" collapsed="false">
      <c r="A6" s="11" t="s">
        <v>238</v>
      </c>
      <c r="B6" s="7" t="s">
        <v>246</v>
      </c>
      <c r="C6" s="7" t="s">
        <v>240</v>
      </c>
      <c r="D6" s="7" t="s">
        <v>241</v>
      </c>
      <c r="E6" s="7" t="s">
        <v>242</v>
      </c>
      <c r="F6" s="7" t="s">
        <v>243</v>
      </c>
      <c r="G6" s="7" t="s">
        <v>247</v>
      </c>
      <c r="H6" s="7" t="s">
        <v>248</v>
      </c>
    </row>
    <row r="7" customFormat="false" ht="48" hidden="false" customHeight="true" outlineLevel="0" collapsed="false">
      <c r="A7" s="11" t="s">
        <v>238</v>
      </c>
      <c r="B7" s="7" t="s">
        <v>249</v>
      </c>
      <c r="C7" s="7" t="s">
        <v>240</v>
      </c>
      <c r="D7" s="7" t="s">
        <v>241</v>
      </c>
      <c r="E7" s="7" t="s">
        <v>242</v>
      </c>
      <c r="F7" s="7" t="s">
        <v>243</v>
      </c>
      <c r="G7" s="7" t="s">
        <v>247</v>
      </c>
      <c r="H7" s="7" t="s">
        <v>250</v>
      </c>
    </row>
    <row r="8" customFormat="false" ht="48" hidden="false" customHeight="true" outlineLevel="0" collapsed="false">
      <c r="A8" s="11" t="s">
        <v>238</v>
      </c>
      <c r="B8" s="7" t="s">
        <v>251</v>
      </c>
      <c r="C8" s="7" t="s">
        <v>252</v>
      </c>
      <c r="D8" s="7" t="s">
        <v>253</v>
      </c>
      <c r="E8" s="7" t="s">
        <v>254</v>
      </c>
      <c r="F8" s="7" t="s">
        <v>243</v>
      </c>
      <c r="G8" s="7" t="s">
        <v>255</v>
      </c>
      <c r="H8" s="7" t="s">
        <v>256</v>
      </c>
    </row>
    <row r="9" customFormat="false" ht="48" hidden="false" customHeight="true" outlineLevel="0" collapsed="false">
      <c r="A9" s="11" t="s">
        <v>238</v>
      </c>
      <c r="B9" s="7" t="s">
        <v>257</v>
      </c>
      <c r="C9" s="7" t="s">
        <v>258</v>
      </c>
      <c r="D9" s="7" t="s">
        <v>259</v>
      </c>
      <c r="E9" s="7" t="s">
        <v>254</v>
      </c>
      <c r="F9" s="7" t="s">
        <v>243</v>
      </c>
      <c r="G9" s="7" t="s">
        <v>247</v>
      </c>
      <c r="H9" s="7" t="s">
        <v>260</v>
      </c>
    </row>
    <row r="10" customFormat="false" ht="48" hidden="false" customHeight="true" outlineLevel="0" collapsed="false">
      <c r="A10" s="11" t="s">
        <v>238</v>
      </c>
      <c r="B10" s="7" t="s">
        <v>261</v>
      </c>
      <c r="C10" s="7" t="s">
        <v>262</v>
      </c>
      <c r="D10" s="7" t="s">
        <v>263</v>
      </c>
      <c r="E10" s="7" t="s">
        <v>254</v>
      </c>
      <c r="F10" s="7" t="s">
        <v>243</v>
      </c>
      <c r="G10" s="7" t="s">
        <v>247</v>
      </c>
      <c r="H10" s="7" t="s">
        <v>264</v>
      </c>
    </row>
    <row r="11" customFormat="false" ht="48" hidden="false" customHeight="true" outlineLevel="0" collapsed="false">
      <c r="A11" s="11" t="s">
        <v>238</v>
      </c>
      <c r="B11" s="7" t="s">
        <v>265</v>
      </c>
      <c r="C11" s="7" t="s">
        <v>266</v>
      </c>
      <c r="D11" s="7" t="s">
        <v>253</v>
      </c>
      <c r="E11" s="7" t="s">
        <v>254</v>
      </c>
      <c r="F11" s="7" t="s">
        <v>243</v>
      </c>
      <c r="G11" s="7" t="s">
        <v>267</v>
      </c>
      <c r="H11" s="7" t="s">
        <v>268</v>
      </c>
    </row>
    <row r="12" customFormat="false" ht="48" hidden="false" customHeight="true" outlineLevel="0" collapsed="false">
      <c r="A12" s="11" t="s">
        <v>238</v>
      </c>
      <c r="B12" s="7" t="s">
        <v>269</v>
      </c>
      <c r="C12" s="7" t="s">
        <v>270</v>
      </c>
      <c r="D12" s="7" t="s">
        <v>43</v>
      </c>
      <c r="E12" s="7" t="s">
        <v>271</v>
      </c>
      <c r="F12" s="7" t="s">
        <v>243</v>
      </c>
      <c r="G12" s="7" t="s">
        <v>272</v>
      </c>
      <c r="H12" s="7" t="s">
        <v>273</v>
      </c>
    </row>
    <row r="13" customFormat="false" ht="48" hidden="false" customHeight="true" outlineLevel="0" collapsed="false">
      <c r="A13" s="11" t="s">
        <v>238</v>
      </c>
      <c r="B13" s="7" t="s">
        <v>274</v>
      </c>
      <c r="C13" s="7" t="s">
        <v>275</v>
      </c>
      <c r="D13" s="7" t="s">
        <v>263</v>
      </c>
      <c r="E13" s="7" t="s">
        <v>242</v>
      </c>
      <c r="F13" s="7" t="s">
        <v>243</v>
      </c>
      <c r="G13" s="7" t="s">
        <v>247</v>
      </c>
      <c r="H13" s="7" t="s">
        <v>276</v>
      </c>
    </row>
    <row r="14" customFormat="false" ht="48" hidden="false" customHeight="true" outlineLevel="0" collapsed="false">
      <c r="A14" s="11" t="s">
        <v>238</v>
      </c>
      <c r="B14" s="7" t="s">
        <v>277</v>
      </c>
      <c r="C14" s="7" t="s">
        <v>278</v>
      </c>
      <c r="D14" s="7" t="s">
        <v>43</v>
      </c>
      <c r="E14" s="7" t="s">
        <v>254</v>
      </c>
      <c r="F14" s="7" t="s">
        <v>243</v>
      </c>
      <c r="G14" s="7" t="s">
        <v>247</v>
      </c>
      <c r="H14" s="7" t="s">
        <v>279</v>
      </c>
    </row>
    <row r="15" customFormat="false" ht="48" hidden="false" customHeight="true" outlineLevel="0" collapsed="false">
      <c r="A15" s="11" t="s">
        <v>238</v>
      </c>
      <c r="B15" s="7" t="s">
        <v>280</v>
      </c>
      <c r="C15" s="7" t="s">
        <v>281</v>
      </c>
      <c r="D15" s="7" t="s">
        <v>111</v>
      </c>
      <c r="E15" s="7" t="s">
        <v>271</v>
      </c>
      <c r="F15" s="7" t="s">
        <v>282</v>
      </c>
      <c r="G15" s="7" t="s">
        <v>283</v>
      </c>
      <c r="H15" s="7" t="s">
        <v>284</v>
      </c>
    </row>
    <row r="16" customFormat="false" ht="48" hidden="false" customHeight="true" outlineLevel="0" collapsed="false">
      <c r="A16" s="11" t="s">
        <v>238</v>
      </c>
      <c r="B16" s="7" t="s">
        <v>285</v>
      </c>
      <c r="C16" s="7" t="s">
        <v>286</v>
      </c>
      <c r="D16" s="7" t="s">
        <v>99</v>
      </c>
      <c r="E16" s="7" t="s">
        <v>242</v>
      </c>
      <c r="F16" s="7" t="s">
        <v>287</v>
      </c>
      <c r="G16" s="7" t="s">
        <v>288</v>
      </c>
      <c r="H16" s="7" t="s">
        <v>289</v>
      </c>
    </row>
    <row r="17" customFormat="false" ht="48" hidden="false" customHeight="true" outlineLevel="0" collapsed="false">
      <c r="A17" s="11" t="s">
        <v>290</v>
      </c>
      <c r="B17" s="7" t="s">
        <v>291</v>
      </c>
      <c r="C17" s="7" t="s">
        <v>292</v>
      </c>
      <c r="D17" s="7" t="s">
        <v>85</v>
      </c>
      <c r="E17" s="7" t="s">
        <v>271</v>
      </c>
      <c r="F17" s="7" t="s">
        <v>293</v>
      </c>
      <c r="G17" s="7" t="s">
        <v>294</v>
      </c>
      <c r="H17" s="7" t="s">
        <v>295</v>
      </c>
    </row>
    <row r="18" customFormat="false" ht="48" hidden="false" customHeight="true" outlineLevel="0" collapsed="false">
      <c r="A18" s="11" t="s">
        <v>290</v>
      </c>
      <c r="B18" s="7" t="s">
        <v>296</v>
      </c>
      <c r="C18" s="7" t="s">
        <v>297</v>
      </c>
      <c r="D18" s="7" t="s">
        <v>298</v>
      </c>
      <c r="E18" s="7" t="s">
        <v>271</v>
      </c>
      <c r="F18" s="7" t="s">
        <v>293</v>
      </c>
      <c r="G18" s="7" t="s">
        <v>299</v>
      </c>
      <c r="H18" s="7" t="s">
        <v>300</v>
      </c>
    </row>
    <row r="19" customFormat="false" ht="48" hidden="false" customHeight="true" outlineLevel="0" collapsed="false">
      <c r="A19" s="11" t="s">
        <v>290</v>
      </c>
      <c r="B19" s="7" t="s">
        <v>301</v>
      </c>
      <c r="C19" s="7" t="s">
        <v>302</v>
      </c>
      <c r="D19" s="7" t="s">
        <v>137</v>
      </c>
      <c r="E19" s="7" t="s">
        <v>271</v>
      </c>
      <c r="F19" s="7" t="s">
        <v>293</v>
      </c>
      <c r="G19" s="7" t="s">
        <v>303</v>
      </c>
      <c r="H19" s="7" t="s">
        <v>304</v>
      </c>
    </row>
    <row r="20" customFormat="false" ht="48" hidden="false" customHeight="true" outlineLevel="0" collapsed="false">
      <c r="A20" s="11" t="s">
        <v>305</v>
      </c>
      <c r="B20" s="7" t="s">
        <v>306</v>
      </c>
      <c r="C20" s="7" t="s">
        <v>258</v>
      </c>
      <c r="D20" s="7" t="s">
        <v>43</v>
      </c>
      <c r="E20" s="7" t="s">
        <v>254</v>
      </c>
      <c r="F20" s="7" t="s">
        <v>243</v>
      </c>
      <c r="G20" s="7" t="s">
        <v>247</v>
      </c>
      <c r="H20" s="7" t="s">
        <v>307</v>
      </c>
    </row>
    <row r="21" customFormat="false" ht="48" hidden="false" customHeight="true" outlineLevel="0" collapsed="false">
      <c r="A21" s="11" t="s">
        <v>308</v>
      </c>
      <c r="B21" s="7" t="s">
        <v>309</v>
      </c>
      <c r="C21" s="7" t="s">
        <v>310</v>
      </c>
      <c r="D21" s="7" t="s">
        <v>71</v>
      </c>
      <c r="E21" s="7" t="s">
        <v>271</v>
      </c>
      <c r="F21" s="7" t="s">
        <v>311</v>
      </c>
      <c r="G21" s="7" t="s">
        <v>312</v>
      </c>
      <c r="H21" s="7" t="s">
        <v>313</v>
      </c>
    </row>
    <row r="22" customFormat="false" ht="48" hidden="false" customHeight="true" outlineLevel="0" collapsed="false">
      <c r="A22" s="11" t="s">
        <v>308</v>
      </c>
      <c r="B22" s="7" t="s">
        <v>314</v>
      </c>
      <c r="C22" s="7" t="s">
        <v>310</v>
      </c>
      <c r="D22" s="7" t="s">
        <v>71</v>
      </c>
      <c r="E22" s="7" t="s">
        <v>271</v>
      </c>
      <c r="F22" s="7" t="s">
        <v>311</v>
      </c>
      <c r="G22" s="7" t="s">
        <v>315</v>
      </c>
      <c r="H22" s="7" t="s">
        <v>316</v>
      </c>
    </row>
    <row r="23" customFormat="false" ht="48" hidden="false" customHeight="true" outlineLevel="0" collapsed="false">
      <c r="A23" s="12" t="s">
        <v>317</v>
      </c>
      <c r="B23" s="8" t="s">
        <v>318</v>
      </c>
      <c r="C23" s="8" t="s">
        <v>319</v>
      </c>
      <c r="D23" s="8" t="s">
        <v>320</v>
      </c>
      <c r="E23" s="8" t="s">
        <v>242</v>
      </c>
      <c r="F23" s="8" t="s">
        <v>321</v>
      </c>
      <c r="G23" s="8" t="s">
        <v>322</v>
      </c>
      <c r="H23" s="8" t="s">
        <v>323</v>
      </c>
    </row>
    <row r="24" customFormat="false" ht="48" hidden="false" customHeight="true" outlineLevel="0" collapsed="false">
      <c r="A24" s="12" t="s">
        <v>324</v>
      </c>
      <c r="B24" s="8" t="s">
        <v>325</v>
      </c>
      <c r="C24" s="8" t="s">
        <v>319</v>
      </c>
      <c r="D24" s="8" t="s">
        <v>241</v>
      </c>
      <c r="E24" s="8" t="s">
        <v>242</v>
      </c>
      <c r="F24" s="8" t="s">
        <v>321</v>
      </c>
      <c r="G24" s="8" t="s">
        <v>326</v>
      </c>
      <c r="H24" s="8" t="s">
        <v>316</v>
      </c>
    </row>
    <row r="25" customFormat="false" ht="48" hidden="false" customHeight="true" outlineLevel="0" collapsed="false">
      <c r="A25" s="12" t="s">
        <v>327</v>
      </c>
      <c r="B25" s="8" t="s">
        <v>328</v>
      </c>
      <c r="C25" s="8" t="s">
        <v>329</v>
      </c>
      <c r="D25" s="8" t="s">
        <v>330</v>
      </c>
      <c r="E25" s="8" t="s">
        <v>242</v>
      </c>
      <c r="F25" s="8" t="s">
        <v>321</v>
      </c>
      <c r="G25" s="8" t="s">
        <v>326</v>
      </c>
      <c r="H25" s="8" t="s">
        <v>331</v>
      </c>
    </row>
    <row r="26" customFormat="false" ht="48" hidden="false" customHeight="true" outlineLevel="0" collapsed="false">
      <c r="A26" s="12" t="s">
        <v>332</v>
      </c>
      <c r="B26" s="8" t="s">
        <v>333</v>
      </c>
      <c r="C26" s="8" t="s">
        <v>319</v>
      </c>
      <c r="D26" s="8" t="s">
        <v>241</v>
      </c>
      <c r="E26" s="8" t="s">
        <v>242</v>
      </c>
      <c r="F26" s="8" t="s">
        <v>321</v>
      </c>
      <c r="G26" s="8" t="s">
        <v>326</v>
      </c>
      <c r="H26" s="8" t="s">
        <v>334</v>
      </c>
    </row>
    <row r="27" customFormat="false" ht="48" hidden="false" customHeight="true" outlineLevel="0" collapsed="false">
      <c r="A27" s="12" t="s">
        <v>335</v>
      </c>
      <c r="B27" s="8" t="s">
        <v>336</v>
      </c>
      <c r="C27" s="8" t="s">
        <v>319</v>
      </c>
      <c r="D27" s="8" t="s">
        <v>23</v>
      </c>
      <c r="E27" s="8" t="s">
        <v>242</v>
      </c>
      <c r="F27" s="8" t="s">
        <v>321</v>
      </c>
      <c r="G27" s="8" t="s">
        <v>326</v>
      </c>
      <c r="H27" s="8" t="s">
        <v>337</v>
      </c>
    </row>
    <row r="28" customFormat="false" ht="48" hidden="false" customHeight="true" outlineLevel="0" collapsed="false">
      <c r="A28" s="12" t="s">
        <v>338</v>
      </c>
      <c r="B28" s="8" t="s">
        <v>339</v>
      </c>
      <c r="C28" s="8" t="s">
        <v>319</v>
      </c>
      <c r="D28" s="8" t="s">
        <v>23</v>
      </c>
      <c r="E28" s="8" t="s">
        <v>242</v>
      </c>
      <c r="F28" s="8" t="s">
        <v>321</v>
      </c>
      <c r="G28" s="8" t="s">
        <v>326</v>
      </c>
      <c r="H28" s="8" t="s">
        <v>340</v>
      </c>
    </row>
    <row r="29" customFormat="false" ht="48" hidden="false" customHeight="true" outlineLevel="0" collapsed="false">
      <c r="A29" s="13" t="s">
        <v>341</v>
      </c>
      <c r="B29" s="14" t="s">
        <v>342</v>
      </c>
      <c r="C29" s="14" t="s">
        <v>343</v>
      </c>
      <c r="D29" s="14" t="s">
        <v>253</v>
      </c>
      <c r="E29" s="14" t="s">
        <v>242</v>
      </c>
      <c r="F29" s="14" t="s">
        <v>344</v>
      </c>
      <c r="G29" s="14" t="s">
        <v>345</v>
      </c>
      <c r="H29" s="14" t="s">
        <v>346</v>
      </c>
    </row>
    <row r="31" customFormat="false" ht="55.5" hidden="false" customHeight="true" outlineLevel="0" collapsed="false">
      <c r="A31" s="4" t="s">
        <v>347</v>
      </c>
      <c r="B31" s="4"/>
      <c r="C31" s="4"/>
      <c r="D31" s="4"/>
      <c r="E31" s="4"/>
      <c r="F31" s="4"/>
      <c r="G31" s="4"/>
      <c r="H31" s="4"/>
    </row>
  </sheetData>
  <mergeCells count="1">
    <mergeCell ref="A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18"/>
    <col collapsed="false" customWidth="true" hidden="false" outlineLevel="0" max="4" min="4" style="1" width="50"/>
    <col collapsed="false" customWidth="true" hidden="false" outlineLevel="0" max="6" min="5" style="1" width="38"/>
    <col collapsed="false" customWidth="true" hidden="false" outlineLevel="0" max="7" min="7" style="1" width="26"/>
    <col collapsed="false" customWidth="true" hidden="false" outlineLevel="0" max="8" min="8" style="1" width="16"/>
  </cols>
  <sheetData>
    <row r="1" customFormat="false" ht="17.25" hidden="false" customHeight="true" outlineLevel="0" collapsed="false">
      <c r="A1" s="2" t="s">
        <v>348</v>
      </c>
    </row>
    <row r="2" customFormat="false" ht="25.5" hidden="false" customHeight="true" outlineLevel="0" collapsed="false">
      <c r="A2" s="10" t="s">
        <v>349</v>
      </c>
    </row>
    <row r="4" customFormat="false" ht="36" hidden="false" customHeight="true" outlineLevel="0" collapsed="false">
      <c r="A4" s="5" t="s">
        <v>350</v>
      </c>
      <c r="B4" s="5" t="s">
        <v>351</v>
      </c>
      <c r="C4" s="5" t="s">
        <v>352</v>
      </c>
      <c r="D4" s="5" t="s">
        <v>353</v>
      </c>
      <c r="E4" s="5" t="s">
        <v>354</v>
      </c>
      <c r="F4" s="5" t="s">
        <v>355</v>
      </c>
      <c r="G4" s="5" t="s">
        <v>356</v>
      </c>
      <c r="H4" s="5" t="s">
        <v>357</v>
      </c>
    </row>
    <row r="5" customFormat="false" ht="150" hidden="false" customHeight="true" outlineLevel="0" collapsed="false">
      <c r="A5" s="6" t="s">
        <v>358</v>
      </c>
      <c r="B5" s="7" t="s">
        <v>359</v>
      </c>
      <c r="C5" s="7" t="s">
        <v>360</v>
      </c>
      <c r="D5" s="7" t="s">
        <v>361</v>
      </c>
      <c r="E5" s="7" t="s">
        <v>362</v>
      </c>
      <c r="F5" s="7" t="s">
        <v>363</v>
      </c>
      <c r="G5" s="7" t="s">
        <v>364</v>
      </c>
      <c r="H5" s="7" t="s">
        <v>365</v>
      </c>
    </row>
    <row r="6" customFormat="false" ht="150" hidden="false" customHeight="true" outlineLevel="0" collapsed="false">
      <c r="A6" s="6" t="s">
        <v>366</v>
      </c>
      <c r="B6" s="7" t="s">
        <v>367</v>
      </c>
      <c r="C6" s="7" t="s">
        <v>368</v>
      </c>
      <c r="D6" s="7" t="s">
        <v>369</v>
      </c>
      <c r="E6" s="7" t="s">
        <v>370</v>
      </c>
      <c r="F6" s="7" t="s">
        <v>371</v>
      </c>
      <c r="G6" s="7" t="s">
        <v>364</v>
      </c>
      <c r="H6" s="7" t="s">
        <v>365</v>
      </c>
    </row>
    <row r="7" customFormat="false" ht="150" hidden="false" customHeight="true" outlineLevel="0" collapsed="false">
      <c r="A7" s="15" t="s">
        <v>372</v>
      </c>
      <c r="B7" s="14" t="s">
        <v>373</v>
      </c>
      <c r="C7" s="14" t="s">
        <v>298</v>
      </c>
      <c r="D7" s="14" t="s">
        <v>374</v>
      </c>
      <c r="E7" s="14" t="s">
        <v>375</v>
      </c>
      <c r="F7" s="14" t="s">
        <v>376</v>
      </c>
      <c r="G7" s="14" t="s">
        <v>377</v>
      </c>
      <c r="H7" s="14" t="s">
        <v>378</v>
      </c>
    </row>
    <row r="8" customFormat="false" ht="150" hidden="false" customHeight="true" outlineLevel="0" collapsed="false">
      <c r="A8" s="6" t="s">
        <v>379</v>
      </c>
      <c r="B8" s="7" t="s">
        <v>380</v>
      </c>
      <c r="C8" s="7" t="s">
        <v>381</v>
      </c>
      <c r="D8" s="7" t="s">
        <v>382</v>
      </c>
      <c r="E8" s="7" t="s">
        <v>383</v>
      </c>
      <c r="F8" s="7" t="s">
        <v>384</v>
      </c>
      <c r="G8" s="7" t="s">
        <v>385</v>
      </c>
      <c r="H8" s="7" t="s">
        <v>365</v>
      </c>
    </row>
    <row r="9" customFormat="false" ht="150" hidden="false" customHeight="true" outlineLevel="0" collapsed="false">
      <c r="A9" s="6" t="s">
        <v>386</v>
      </c>
      <c r="B9" s="7" t="s">
        <v>387</v>
      </c>
      <c r="C9" s="7" t="s">
        <v>360</v>
      </c>
      <c r="D9" s="7" t="s">
        <v>388</v>
      </c>
      <c r="E9" s="7" t="s">
        <v>389</v>
      </c>
      <c r="F9" s="7" t="s">
        <v>390</v>
      </c>
      <c r="G9" s="7" t="s">
        <v>364</v>
      </c>
      <c r="H9" s="7" t="s">
        <v>365</v>
      </c>
    </row>
    <row r="10" customFormat="false" ht="150" hidden="false" customHeight="true" outlineLevel="0" collapsed="false">
      <c r="A10" s="6" t="s">
        <v>391</v>
      </c>
      <c r="B10" s="7" t="s">
        <v>392</v>
      </c>
      <c r="C10" s="7" t="s">
        <v>360</v>
      </c>
      <c r="D10" s="7" t="s">
        <v>393</v>
      </c>
      <c r="E10" s="7" t="s">
        <v>394</v>
      </c>
      <c r="F10" s="7" t="s">
        <v>395</v>
      </c>
      <c r="G10" s="7" t="s">
        <v>377</v>
      </c>
      <c r="H10" s="7" t="s">
        <v>396</v>
      </c>
    </row>
    <row r="11" customFormat="false" ht="150" hidden="false" customHeight="true" outlineLevel="0" collapsed="false">
      <c r="A11" s="6" t="s">
        <v>397</v>
      </c>
      <c r="B11" s="7" t="s">
        <v>398</v>
      </c>
      <c r="C11" s="7" t="s">
        <v>71</v>
      </c>
      <c r="D11" s="7" t="s">
        <v>399</v>
      </c>
      <c r="E11" s="7" t="s">
        <v>400</v>
      </c>
      <c r="F11" s="7" t="s">
        <v>401</v>
      </c>
      <c r="G11" s="7" t="s">
        <v>402</v>
      </c>
      <c r="H11" s="7" t="s">
        <v>365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6"/>
  </cols>
  <sheetData>
    <row r="1" customFormat="false" ht="17.25" hidden="false" customHeight="true" outlineLevel="0" collapsed="false">
      <c r="A1" s="2" t="s">
        <v>403</v>
      </c>
    </row>
    <row r="2" customFormat="false" ht="25.5" hidden="false" customHeight="true" outlineLevel="0" collapsed="false">
      <c r="A2" s="10" t="s">
        <v>404</v>
      </c>
    </row>
    <row r="4" customFormat="false" ht="15" hidden="false" customHeight="true" outlineLevel="0" collapsed="false">
      <c r="A4" s="16" t="s">
        <v>405</v>
      </c>
      <c r="B4" s="16" t="s">
        <v>406</v>
      </c>
    </row>
    <row r="5" customFormat="false" ht="15" hidden="false" customHeight="true" outlineLevel="0" collapsed="false">
      <c r="A5" s="17" t="s">
        <v>407</v>
      </c>
      <c r="B5" s="18" t="n">
        <f aca="false">COUNTA('RoPA — Article 30 Register'!A6:A15)</f>
        <v>10</v>
      </c>
    </row>
    <row r="6" customFormat="false" ht="15" hidden="false" customHeight="true" outlineLevel="0" collapsed="false">
      <c r="A6" s="17" t="s">
        <v>408</v>
      </c>
      <c r="B6" s="18" t="n">
        <f aca="false">4</f>
        <v>4</v>
      </c>
    </row>
    <row r="7" customFormat="false" ht="15" hidden="false" customHeight="true" outlineLevel="0" collapsed="false">
      <c r="A7" s="17" t="s">
        <v>409</v>
      </c>
      <c r="B7" s="18" t="n">
        <f aca="false">COUNTA('RoPA — Article 30 Register'!A6:A15)-4</f>
        <v>6</v>
      </c>
    </row>
    <row r="8" customFormat="false" ht="15" hidden="false" customHeight="true" outlineLevel="0" collapsed="false">
      <c r="A8" s="17" t="s">
        <v>410</v>
      </c>
      <c r="B8" s="18" t="n">
        <f aca="false">COUNTIF('RoPA — Article 30 Register'!K6:K15,"Yes")</f>
        <v>10</v>
      </c>
    </row>
    <row r="9" customFormat="false" ht="15" hidden="false" customHeight="true" outlineLevel="0" collapsed="false">
      <c r="A9" s="17" t="s">
        <v>411</v>
      </c>
      <c r="B9" s="18" t="n">
        <f aca="false">COUNTA('RoPA — Article 30 Register'!A6:A15)-COUNTIF('RoPA — Article 30 Register'!K6:K15,"Yes")</f>
        <v>0</v>
      </c>
    </row>
    <row r="10" customFormat="false" ht="15" hidden="false" customHeight="true" outlineLevel="0" collapsed="false">
      <c r="A10" s="17" t="s">
        <v>412</v>
      </c>
      <c r="B10" s="19" t="n">
        <f aca="false">COUNTIF('RoPA — Article 30 Register'!K6:K15,"Yes")/COUNTA('RoPA — Article 30 Register'!A6:A15)</f>
        <v>1</v>
      </c>
    </row>
    <row r="11" customFormat="false" ht="15" hidden="false" customHeight="true" outlineLevel="0" collapsed="false">
      <c r="A11" s="17" t="s">
        <v>413</v>
      </c>
      <c r="B11" s="18" t="n">
        <f aca="false">COUNTIF('RoPA — Article 30 Register'!R6:R15,"DPO Required")</f>
        <v>10</v>
      </c>
    </row>
    <row r="12" customFormat="false" ht="15" hidden="false" customHeight="true" outlineLevel="0" collapsed="false">
      <c r="A12" s="17" t="s">
        <v>414</v>
      </c>
      <c r="B12" s="18" t="n">
        <f aca="false">COUNTIF('RoPA — Article 30 Register'!H6:H15,"UNDETERMINED*")</f>
        <v>9</v>
      </c>
    </row>
    <row r="13" customFormat="false" ht="15" hidden="false" customHeight="true" outlineLevel="0" collapsed="false">
      <c r="A13" s="17" t="s">
        <v>415</v>
      </c>
      <c r="B13" s="18" t="n">
        <f aca="false">3</f>
        <v>3</v>
      </c>
    </row>
    <row r="14" customFormat="false" ht="15" hidden="false" customHeight="true" outlineLevel="0" collapsed="false">
      <c r="A14" s="17" t="s">
        <v>416</v>
      </c>
      <c r="B14" s="18" t="n">
        <f aca="false">COUNTA('Open Determinations'!A5:A11)</f>
        <v>7</v>
      </c>
    </row>
    <row r="15" customFormat="false" ht="15" hidden="false" customHeight="false" outlineLevel="0" collapsed="false">
      <c r="A15" s="20" t="s">
        <v>417</v>
      </c>
      <c r="B15" s="21" t="n">
        <f aca="false">COUNTIF('RoPA — Article 30 Register'!H6:H15,"CHAPTER V*")</f>
        <v>1</v>
      </c>
    </row>
    <row r="16" customFormat="false" ht="51.75" hidden="false" customHeight="true" outlineLevel="0" collapsed="false">
      <c r="A16" s="4"/>
      <c r="B16" s="4"/>
    </row>
    <row r="17" customFormat="false" ht="63.75" hidden="false" customHeight="true" outlineLevel="0" collapsed="false">
      <c r="A17" s="4" t="s">
        <v>418</v>
      </c>
      <c r="B17" s="4"/>
    </row>
    <row r="19" customFormat="false" ht="42" hidden="false" customHeight="true" outlineLevel="0" collapsed="false">
      <c r="A19" s="22" t="s">
        <v>419</v>
      </c>
      <c r="B19" s="22"/>
    </row>
  </sheetData>
  <mergeCells count="3">
    <mergeCell ref="A16:B16"/>
    <mergeCell ref="A17:B17"/>
    <mergeCell ref="A19:B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2"/>
    <col collapsed="false" customWidth="true" hidden="false" outlineLevel="0" max="4" min="3" style="1" width="44"/>
    <col collapsed="false" customWidth="true" hidden="false" outlineLevel="0" max="5" min="5" style="1" width="58"/>
  </cols>
  <sheetData>
    <row r="1" customFormat="false" ht="17.25" hidden="false" customHeight="true" outlineLevel="0" collapsed="false">
      <c r="A1" s="2" t="s">
        <v>420</v>
      </c>
    </row>
    <row r="2" customFormat="false" ht="25.5" hidden="false" customHeight="true" outlineLevel="0" collapsed="false">
      <c r="A2" s="10" t="s">
        <v>421</v>
      </c>
    </row>
    <row r="4" customFormat="false" ht="36" hidden="false" customHeight="true" outlineLevel="0" collapsed="false">
      <c r="A4" s="5" t="s">
        <v>422</v>
      </c>
      <c r="B4" s="5" t="s">
        <v>423</v>
      </c>
      <c r="C4" s="5" t="s">
        <v>424</v>
      </c>
      <c r="D4" s="5" t="s">
        <v>425</v>
      </c>
      <c r="E4" s="5" t="s">
        <v>426</v>
      </c>
    </row>
    <row r="5" customFormat="false" ht="109.5" hidden="false" customHeight="true" outlineLevel="0" collapsed="false">
      <c r="A5" s="6" t="n">
        <v>1</v>
      </c>
      <c r="B5" s="7" t="s">
        <v>427</v>
      </c>
      <c r="C5" s="7" t="s">
        <v>428</v>
      </c>
      <c r="D5" s="7" t="s">
        <v>429</v>
      </c>
      <c r="E5" s="7" t="s">
        <v>430</v>
      </c>
    </row>
    <row r="6" customFormat="false" ht="109.5" hidden="false" customHeight="true" outlineLevel="0" collapsed="false">
      <c r="A6" s="6" t="n">
        <v>2</v>
      </c>
      <c r="B6" s="7" t="s">
        <v>431</v>
      </c>
      <c r="C6" s="7" t="s">
        <v>432</v>
      </c>
      <c r="D6" s="7" t="s">
        <v>433</v>
      </c>
      <c r="E6" s="7" t="s">
        <v>434</v>
      </c>
    </row>
    <row r="7" customFormat="false" ht="109.5" hidden="false" customHeight="true" outlineLevel="0" collapsed="false">
      <c r="A7" s="6" t="n">
        <v>3</v>
      </c>
      <c r="B7" s="7" t="s">
        <v>435</v>
      </c>
      <c r="C7" s="7" t="s">
        <v>436</v>
      </c>
      <c r="D7" s="7" t="s">
        <v>437</v>
      </c>
      <c r="E7" s="7" t="s">
        <v>438</v>
      </c>
    </row>
    <row r="8" customFormat="false" ht="109.5" hidden="false" customHeight="true" outlineLevel="0" collapsed="false">
      <c r="A8" s="6" t="n">
        <v>4</v>
      </c>
      <c r="B8" s="7" t="s">
        <v>439</v>
      </c>
      <c r="C8" s="7" t="s">
        <v>440</v>
      </c>
      <c r="D8" s="7" t="s">
        <v>441</v>
      </c>
      <c r="E8" s="7" t="s">
        <v>442</v>
      </c>
    </row>
    <row r="9" customFormat="false" ht="109.5" hidden="false" customHeight="true" outlineLevel="0" collapsed="false">
      <c r="A9" s="6" t="n">
        <v>5</v>
      </c>
      <c r="B9" s="7" t="s">
        <v>443</v>
      </c>
      <c r="C9" s="7" t="s">
        <v>444</v>
      </c>
      <c r="D9" s="7" t="s">
        <v>445</v>
      </c>
      <c r="E9" s="7" t="s">
        <v>446</v>
      </c>
    </row>
    <row r="10" customFormat="false" ht="109.5" hidden="false" customHeight="true" outlineLevel="0" collapsed="false">
      <c r="A10" s="6" t="n">
        <v>6</v>
      </c>
      <c r="B10" s="7" t="s">
        <v>447</v>
      </c>
      <c r="C10" s="7" t="s">
        <v>448</v>
      </c>
      <c r="D10" s="7" t="s">
        <v>449</v>
      </c>
      <c r="E10" s="7" t="s">
        <v>450</v>
      </c>
    </row>
    <row r="11" customFormat="false" ht="109.5" hidden="false" customHeight="true" outlineLevel="0" collapsed="false">
      <c r="A11" s="6" t="n">
        <v>7</v>
      </c>
      <c r="B11" s="7" t="s">
        <v>451</v>
      </c>
      <c r="C11" s="7" t="s">
        <v>452</v>
      </c>
      <c r="D11" s="7" t="s">
        <v>453</v>
      </c>
      <c r="E11" s="7" t="s">
        <v>454</v>
      </c>
    </row>
    <row r="12" customFormat="false" ht="109.5" hidden="false" customHeight="true" outlineLevel="0" collapsed="false">
      <c r="A12" s="6" t="n">
        <v>8</v>
      </c>
      <c r="B12" s="7" t="s">
        <v>455</v>
      </c>
      <c r="C12" s="7" t="s">
        <v>456</v>
      </c>
      <c r="D12" s="7" t="s">
        <v>457</v>
      </c>
      <c r="E12" s="7" t="s">
        <v>458</v>
      </c>
    </row>
    <row r="13" customFormat="false" ht="109.5" hidden="false" customHeight="true" outlineLevel="0" collapsed="false">
      <c r="A13" s="6" t="n">
        <v>9</v>
      </c>
      <c r="B13" s="7" t="s">
        <v>459</v>
      </c>
      <c r="C13" s="7" t="s">
        <v>460</v>
      </c>
      <c r="D13" s="7" t="s">
        <v>461</v>
      </c>
      <c r="E13" s="7" t="s">
        <v>462</v>
      </c>
    </row>
    <row r="14" customFormat="false" ht="109.5" hidden="false" customHeight="true" outlineLevel="0" collapsed="false">
      <c r="A14" s="6" t="n">
        <v>10</v>
      </c>
      <c r="B14" s="7" t="s">
        <v>463</v>
      </c>
      <c r="C14" s="7" t="s">
        <v>464</v>
      </c>
      <c r="D14" s="7" t="s">
        <v>465</v>
      </c>
      <c r="E14" s="7" t="s">
        <v>466</v>
      </c>
    </row>
    <row r="15" customFormat="false" ht="109.5" hidden="false" customHeight="true" outlineLevel="0" collapsed="false">
      <c r="A15" s="6" t="n">
        <v>11</v>
      </c>
      <c r="B15" s="7" t="s">
        <v>467</v>
      </c>
      <c r="C15" s="7" t="s">
        <v>468</v>
      </c>
      <c r="D15" s="7" t="s">
        <v>469</v>
      </c>
      <c r="E15" s="7" t="s">
        <v>470</v>
      </c>
    </row>
    <row r="16" customFormat="false" ht="109.5" hidden="false" customHeight="true" outlineLevel="0" collapsed="false">
      <c r="A16" s="6" t="n">
        <v>12</v>
      </c>
      <c r="B16" s="7" t="s">
        <v>471</v>
      </c>
      <c r="C16" s="7" t="s">
        <v>472</v>
      </c>
      <c r="D16" s="7" t="s">
        <v>473</v>
      </c>
      <c r="E16" s="7" t="s">
        <v>474</v>
      </c>
    </row>
    <row r="17" customFormat="false" ht="109.5" hidden="false" customHeight="true" outlineLevel="0" collapsed="false">
      <c r="A17" s="6" t="n">
        <v>13</v>
      </c>
      <c r="B17" s="7" t="s">
        <v>475</v>
      </c>
      <c r="C17" s="7" t="s">
        <v>476</v>
      </c>
      <c r="D17" s="7" t="s">
        <v>477</v>
      </c>
      <c r="E17" s="7" t="s">
        <v>478</v>
      </c>
    </row>
    <row r="18" customFormat="false" ht="109.5" hidden="false" customHeight="true" outlineLevel="0" collapsed="false">
      <c r="A18" s="6" t="n">
        <v>14</v>
      </c>
      <c r="B18" s="7" t="s">
        <v>479</v>
      </c>
      <c r="C18" s="7" t="s">
        <v>480</v>
      </c>
      <c r="D18" s="7" t="s">
        <v>481</v>
      </c>
      <c r="E18" s="7" t="s">
        <v>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2026-08-26T04:03:48Z</dcterms:created>
  <dc:creator>openpyxl</dc:creator>
  <dc:description/>
  <dc:language>en-US</dc:language>
  <cp:lastModifiedBy/>
  <dcterms:modified xsi:type="dcterms:W3CDTF">2026-08-26T04:06:49Z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