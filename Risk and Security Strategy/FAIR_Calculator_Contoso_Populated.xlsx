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IR Quantitative Model" sheetId="1" state="visible" r:id="rId3"/>
    <sheet name="Input Provenance" sheetId="2" state="visible" r:id="rId4"/>
    <sheet name="Sensitivity &amp; Control Effec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<sst xmlns="http://schemas.openxmlformats.org/spreadsheetml/2006/main" count="103" uniqueCount="96">
  <si>
    <t xml:space="preserve">Contoso Financial Service - FAIR Quantitative Loss Exposure Calculator</t>
  </si>
  <si>
    <t xml:space="preserve">Scenario: Confidentiality breach of restricted content extracted from the knowledge assistant via prompt injection against the Azure OpenAI inference endpoint.  Primary Risk ID: R-05.  Enabling precondition: R-01 (ingestion boundary failure).</t>
  </si>
  <si>
    <t xml:space="preserve">FAIR Parameter Component</t>
  </si>
  <si>
    <t xml:space="preserve">Minimum Bounds</t>
  </si>
  <si>
    <t xml:space="preserve">Most Likely Bounds</t>
  </si>
  <si>
    <t xml:space="preserve">Maximum Bounds</t>
  </si>
  <si>
    <t xml:space="preserve">Derived Annualized Loss Expectancy (ALE) Band</t>
  </si>
  <si>
    <t xml:space="preserve">Basis / Source of Value</t>
  </si>
  <si>
    <t xml:space="preserve">Confidence</t>
  </si>
  <si>
    <t xml:space="preserve">Loss Event Frequency (LEF - Events/Year)</t>
  </si>
  <si>
    <t xml:space="preserve">Supplied in the scenario package FAIR Calculator Template. Retained unchanged - not author-derived. Consistent with an authenticated internal user population and a deliberate-adversary attack path: between one event every ten years and one every two years.</t>
  </si>
  <si>
    <t xml:space="preserve">Medium</t>
  </si>
  <si>
    <t xml:space="preserve">Primary Loss Magnitude (Incident Response Costs)</t>
  </si>
  <si>
    <t xml:space="preserve">Supplied in the scenario package. Retained unchanged. Covers forensics, containment, corpus re-verification and internal investigation effort.</t>
  </si>
  <si>
    <t xml:space="preserve">Secondary Loss Magnitude (Regulatory &amp; Legal Fines)</t>
  </si>
  <si>
    <t xml:space="preserve">Supplied in the scenario package. Retained unchanged. Credible ONLY under the R-01 precondition - see the note below. On a correctly bounded corpus this band would be materially lower.</t>
  </si>
  <si>
    <t xml:space="preserve">Low - conditional</t>
  </si>
  <si>
    <t xml:space="preserve">Total Loss Magnitude (LM - Per Event)</t>
  </si>
  <si>
    <t xml:space="preserve">Calculated: Primary + Secondary loss magnitude per event.</t>
  </si>
  <si>
    <t xml:space="preserve">Calculated Annual Loss Expectancy (ALE)</t>
  </si>
  <si>
    <t xml:space="preserve">Calculated: Loss Event Frequency x Total Loss Magnitude.</t>
  </si>
  <si>
    <t xml:space="preserve">ALE Band Carried Into the Executive Summary</t>
  </si>
  <si>
    <t xml:space="preserve">Minimum annualised exposure</t>
  </si>
  <si>
    <t xml:space="preserve">Most Likely annualised exposure</t>
  </si>
  <si>
    <t xml:space="preserve">Maximum annualised exposure</t>
  </si>
  <si>
    <t xml:space="preserve">Per-event loss magnitude band</t>
  </si>
  <si>
    <t xml:space="preserve">Reporting rule: this exposure is reported as a three-value band. A single-point ALE (for example 'annual loss expectancy is $625,000') implies a precision the model does not support and is not used anywhere in the report.</t>
  </si>
  <si>
    <t xml:space="preserve">Provenance: all three input parameters are taken unchanged from the FAIR Calculator Template supplied in the scenario package. No input value has been invented, substituted or re-estimated by the author.</t>
  </si>
  <si>
    <t xml:space="preserve">Conditionality of the secondary loss band: the $400,000 - $11,000,000 regulatory and legal band is credible only where restricted or personal data is present in the indexed corpus - that is, where R-01 has already failed. Scope exclusion X-2 bars such content from the index by design. Modelling R-05 alone against a correctly bounded corpus would yield internal policy content only, and a materially smaller secondary loss. R-01 is therefore carried as the enabling precondition of this scenario.</t>
  </si>
  <si>
    <t xml:space="preserve">Governance consequence: because the secondary loss band depends on the R-01 precondition, ingestion controls exert more leverage on modelled exposure than endpoint controls do. See the 'Sensitivity &amp; Control Effect' sheet.</t>
  </si>
  <si>
    <t xml:space="preserve">Blue figures are inputs. Black figures are calculated. Do not overwrite a calculated cell.</t>
  </si>
  <si>
    <t xml:space="preserve">FAIR Input Provenance and Defensibility</t>
  </si>
  <si>
    <t xml:space="preserve">Every input below is challengeable. This sheet records where each came from and what would move it.</t>
  </si>
  <si>
    <t xml:space="preserve">FAIR Parameter</t>
  </si>
  <si>
    <t xml:space="preserve">Min</t>
  </si>
  <si>
    <t xml:space="preserve">Most Likely</t>
  </si>
  <si>
    <t xml:space="preserve">Max</t>
  </si>
  <si>
    <t xml:space="preserve">Source</t>
  </si>
  <si>
    <t xml:space="preserve">Why the range is defensible</t>
  </si>
  <si>
    <t xml:space="preserve">What would change it</t>
  </si>
  <si>
    <t xml:space="preserve">Loss Event Frequency (events/year)</t>
  </si>
  <si>
    <t xml:space="preserve">0.10</t>
  </si>
  <si>
    <t xml:space="preserve">0.25</t>
  </si>
  <si>
    <t xml:space="preserve">0.50</t>
  </si>
  <si>
    <t xml:space="preserve">Scenario package FAIR Calculator Template. Retained unchanged.</t>
  </si>
  <si>
    <t xml:space="preserve">Spans one event per decade to one event every two years. The lower bound reflects an authenticated, internal-only user population behind Entra ID; the upper bound reflects the low technical barrier to prompt injection and the availability of published technique libraries. Contoso has no assistant incident history, so a wide band is the honest representation.</t>
  </si>
  <si>
    <t xml:space="preserve">Injection-attempt telemetry after go-live. Twelve months of observed attempt-and-success data would replace this estimate with measurement and should narrow the band substantially.</t>
  </si>
  <si>
    <t xml:space="preserve">Primary Loss Magnitude (incident response)</t>
  </si>
  <si>
    <t xml:space="preserve">$100,000</t>
  </si>
  <si>
    <t xml:space="preserve">$250,000</t>
  </si>
  <si>
    <t xml:space="preserve">$1,000,000</t>
  </si>
  <si>
    <t xml:space="preserve">Covers forensic investigation, containment, corpus re-verification, and internal investigation effort. The tenfold spread reflects the difference between a contained single-session extraction and a sustained campaign requiring full corpus review and external forensics.</t>
  </si>
  <si>
    <t xml:space="preserve">Scope of the extraction, and whether the audit trail (R-10 controls) allows the affected query set to be reconstructed quickly. Strong logging compresses this range from the top down.</t>
  </si>
  <si>
    <t xml:space="preserve">Secondary Loss Magnitude (regulatory &amp; legal)</t>
  </si>
  <si>
    <t xml:space="preserve">$400,000</t>
  </si>
  <si>
    <t xml:space="preserve">$2,250,000</t>
  </si>
  <si>
    <t xml:space="preserve">$11,000,000</t>
  </si>
  <si>
    <t xml:space="preserve">Covers regulatory penalty, legal cost, notification and customer remediation. The range is wide because penalty exposure scales with the volume and category of data exposed, and with the supervisor's view of control adequacy at the time of the breach.</t>
  </si>
  <si>
    <t xml:space="preserve">Directly dependent on the R-01 precondition. If ingestion controls hold and no restricted or personal data is in the index, this component collapses toward the lower bound and the scenario ceases to be a notifiable event.</t>
  </si>
  <si>
    <t xml:space="preserve">Low - conditional on R-01</t>
  </si>
  <si>
    <t xml:space="preserve">Total Loss Magnitude (per event)</t>
  </si>
  <si>
    <t xml:space="preserve">$500,000</t>
  </si>
  <si>
    <t xml:space="preserve">$2,500,000</t>
  </si>
  <si>
    <t xml:space="preserve">$12,000,000</t>
  </si>
  <si>
    <t xml:space="preserve">Calculated: Primary + Secondary.</t>
  </si>
  <si>
    <t xml:space="preserve">Arithmetic sum of the two components above.</t>
  </si>
  <si>
    <t xml:space="preserve">Moves with either component.</t>
  </si>
  <si>
    <t xml:space="preserve">Inherited</t>
  </si>
  <si>
    <t xml:space="preserve">Annual Loss Expectancy (ALE)</t>
  </si>
  <si>
    <t xml:space="preserve">$50,000</t>
  </si>
  <si>
    <t xml:space="preserve">$625,000</t>
  </si>
  <si>
    <t xml:space="preserve">$6,000,000</t>
  </si>
  <si>
    <t xml:space="preserve">Calculated: LEF x Total Loss Magnitude.</t>
  </si>
  <si>
    <t xml:space="preserve">The band the Executive Summary carries. The 120-fold spread between minimum and maximum is not a defect of the model - it is the honest width of a pre-deployment estimate with no incident history.</t>
  </si>
  <si>
    <t xml:space="preserve">Narrows as post-go-live telemetry replaces estimated frequency with observed frequency.</t>
  </si>
  <si>
    <t xml:space="preserve">Sensitivity Analysis - Where Control Investment Moves the Number</t>
  </si>
  <si>
    <t xml:space="preserve">ILLUSTRATIVE ONLY. The two control-effectiveness factors below are author estimates, not scenario package data. This sheet supports the residual risk discussion; it does NOT supply the Executive Summary band, which remains the unmitigated $50,000 - $6,000,000 figure from Sheet 1.</t>
  </si>
  <si>
    <t xml:space="preserve">Control-effectiveness assumptions (author estimates - edit these cells to re-run)</t>
  </si>
  <si>
    <t xml:space="preserve">R-01 ingestion controls: reduction in Secondary Loss Magnitude</t>
  </si>
  <si>
    <t xml:space="preserve">R-05 endpoint controls: reduction in Loss Event Frequency</t>
  </si>
  <si>
    <t xml:space="preserve">Control scenario</t>
  </si>
  <si>
    <t xml:space="preserve">LEF Min</t>
  </si>
  <si>
    <t xml:space="preserve">LEF ML</t>
  </si>
  <si>
    <t xml:space="preserve">LEF Max</t>
  </si>
  <si>
    <t xml:space="preserve">LM Min</t>
  </si>
  <si>
    <t xml:space="preserve">LM ML</t>
  </si>
  <si>
    <t xml:space="preserve">LM Max</t>
  </si>
  <si>
    <t xml:space="preserve">ALE Min</t>
  </si>
  <si>
    <t xml:space="preserve">ALE Most Likely</t>
  </si>
  <si>
    <t xml:space="preserve">ALE Max</t>
  </si>
  <si>
    <t xml:space="preserve">Max-ALE reduction</t>
  </si>
  <si>
    <t xml:space="preserve">Unmitigated - as modelled on Sheet 1</t>
  </si>
  <si>
    <t xml:space="preserve">R-01 ingestion controls only (restricted data kept out of the index)</t>
  </si>
  <si>
    <t xml:space="preserve">R-05 endpoint controls only (prompt shields, red teaming, telemetry)</t>
  </si>
  <si>
    <t xml:space="preserve">Both control sets implemented</t>
  </si>
  <si>
    <t xml:space="preserve">Reading this table: the R-01 row and the R-05 row each show what one control set does on its own. The comparison, not the absolute figures, is the finding - ingestion controls move the maximum exposure further than endpoint controls do, because they attack the loss magnitude rather than the event frequency. Both are required; the sequencing conclusion is that ingestion controls should not wait behind endpoint hardening.</t>
  </si>
</sst>
</file>

<file path=xl/styles.xml><?xml version="1.0" encoding="utf-8"?>
<styleSheet xmlns="http://schemas.openxmlformats.org/spreadsheetml/2006/main">
  <numFmts count="4">
    <numFmt numFmtId="164" formatCode="General"/>
    <numFmt numFmtId="165" formatCode="0.00"/>
    <numFmt numFmtId="166" formatCode="\$#,##0"/>
    <numFmt numFmtId="167" formatCode="0%"/>
  </numFmts>
  <fonts count="16">
    <font>
      <sz val="11"/>
      <color theme="1"/>
      <name val="Calibri"/>
      <family val="2"/>
      <charset val="1"/>
    </font>
    <font>
      <sz val="10"/>
      <name val="Arial"/>
      <family val="0"/>
    </font>
    <font>
      <sz val="10"/>
      <name val="Arial"/>
      <family val="0"/>
    </font>
    <font>
      <sz val="10"/>
      <name val="Arial"/>
      <family val="0"/>
    </font>
    <font>
      <b val="true"/>
      <sz val="15"/>
      <color rgb="FF1A365D"/>
      <name val="Segoe UI"/>
      <family val="0"/>
      <charset val="1"/>
    </font>
    <font>
      <sz val="9"/>
      <color rgb="FF4A5568"/>
      <name val="Segoe UI"/>
      <family val="0"/>
      <charset val="1"/>
    </font>
    <font>
      <b val="true"/>
      <sz val="10"/>
      <color rgb="FFFFFFFF"/>
      <name val="Segoe UI"/>
      <family val="0"/>
      <charset val="1"/>
    </font>
    <font>
      <b val="true"/>
      <sz val="10"/>
      <name val="Segoe UI"/>
      <family val="0"/>
      <charset val="1"/>
    </font>
    <font>
      <sz val="10"/>
      <color rgb="FF0000FF"/>
      <name val="Segoe UI"/>
      <family val="0"/>
      <charset val="1"/>
    </font>
    <font>
      <sz val="9"/>
      <name val="Segoe UI"/>
      <family val="0"/>
      <charset val="1"/>
    </font>
    <font>
      <sz val="10"/>
      <name val="Segoe UI"/>
      <family val="0"/>
      <charset val="1"/>
    </font>
    <font>
      <b val="true"/>
      <sz val="11"/>
      <color rgb="FF1A365D"/>
      <name val="Segoe UI"/>
      <family val="0"/>
      <charset val="1"/>
    </font>
    <font>
      <b val="true"/>
      <sz val="12"/>
      <color rgb="FF1A365D"/>
      <name val="Segoe UI"/>
      <family val="0"/>
      <charset val="1"/>
    </font>
    <font>
      <b val="true"/>
      <sz val="14"/>
      <color rgb="FF1A365D"/>
      <name val="Segoe UI"/>
      <family val="0"/>
      <charset val="1"/>
    </font>
    <font>
      <b val="true"/>
      <sz val="9"/>
      <name val="Segoe UI"/>
      <family val="0"/>
      <charset val="1"/>
    </font>
    <font>
      <b val="true"/>
      <sz val="10"/>
      <color rgb="FF7B341E"/>
      <name val="Segoe UI"/>
      <family val="0"/>
      <charset val="1"/>
    </font>
  </fonts>
  <fills count="7">
    <fill>
      <patternFill patternType="none"/>
    </fill>
    <fill>
      <patternFill patternType="gray125"/>
    </fill>
    <fill>
      <patternFill patternType="solid">
        <fgColor rgb="FF1A365D"/>
        <bgColor rgb="FF333333"/>
      </patternFill>
    </fill>
    <fill>
      <patternFill patternType="solid">
        <fgColor rgb="FFFFFAF0"/>
        <bgColor rgb="FFF7FAFC"/>
      </patternFill>
    </fill>
    <fill>
      <patternFill patternType="solid">
        <fgColor rgb="FFF7FAFC"/>
        <bgColor rgb="FFFFFFFF"/>
      </patternFill>
    </fill>
    <fill>
      <patternFill patternType="solid">
        <fgColor rgb="FFFEEBC8"/>
        <bgColor rgb="FFFFF3BF"/>
      </patternFill>
    </fill>
    <fill>
      <patternFill patternType="solid">
        <fgColor rgb="FFFFF3BF"/>
        <bgColor rgb="FFFEEBC8"/>
      </patternFill>
    </fill>
  </fills>
  <borders count="2">
    <border diagonalUp="false" diagonalDown="false">
      <left/>
      <right/>
      <top/>
      <bottom/>
      <diagonal/>
    </border>
    <border diagonalUp="false" diagonalDown="false">
      <left style="thin">
        <color rgb="FFCBD5E0"/>
      </left>
      <right style="thin">
        <color rgb="FFCBD5E0"/>
      </right>
      <top style="thin">
        <color rgb="FFCBD5E0"/>
      </top>
      <bottom style="thin">
        <color rgb="FFCBD5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center"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true" applyProtection="false">
      <alignment horizontal="center" vertical="bottom" textRotation="0" wrapText="false" indent="0" shrinkToFit="false"/>
      <protection locked="true" hidden="false"/>
    </xf>
    <xf numFmtId="166" fontId="11" fillId="3" borderId="1" xfId="0" applyFont="true" applyBorder="true" applyAlignment="true" applyProtection="false">
      <alignment horizontal="center" vertical="bottom" textRotation="0" wrapText="fals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5" fillId="5" borderId="0"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8" fillId="6"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BF"/>
      <rgbColor rgb="FFF7FAFC"/>
      <rgbColor rgb="FF660066"/>
      <rgbColor rgb="FFFF8080"/>
      <rgbColor rgb="FF0066CC"/>
      <rgbColor rgb="FFCBD5E0"/>
      <rgbColor rgb="FF000080"/>
      <rgbColor rgb="FFFF00FF"/>
      <rgbColor rgb="FFFFFF00"/>
      <rgbColor rgb="FF00FFFF"/>
      <rgbColor rgb="FF800080"/>
      <rgbColor rgb="FF800000"/>
      <rgbColor rgb="FF008080"/>
      <rgbColor rgb="FF0000FF"/>
      <rgbColor rgb="FF00CCFF"/>
      <rgbColor rgb="FFFFFAF0"/>
      <rgbColor rgb="FFCCFFCC"/>
      <rgbColor rgb="FFFEEBC8"/>
      <rgbColor rgb="FF99CCFF"/>
      <rgbColor rgb="FFFF99CC"/>
      <rgbColor rgb="FFCC99FF"/>
      <rgbColor rgb="FFFFCC99"/>
      <rgbColor rgb="FF3366FF"/>
      <rgbColor rgb="FF33CCCC"/>
      <rgbColor rgb="FF99CC00"/>
      <rgbColor rgb="FFFFCC00"/>
      <rgbColor rgb="FFFF9900"/>
      <rgbColor rgb="FFFF6600"/>
      <rgbColor rgb="FF4A5568"/>
      <rgbColor rgb="FF969696"/>
      <rgbColor rgb="FF1A365D"/>
      <rgbColor rgb="FF339966"/>
      <rgbColor rgb="FF003300"/>
      <rgbColor rgb="FF333300"/>
      <rgbColor rgb="FF7B34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7"/>
    <col collapsed="false" customWidth="true" hidden="false" outlineLevel="0" max="3" min="3" style="0" width="21"/>
    <col collapsed="false" customWidth="true" hidden="false" outlineLevel="0" max="4" min="4" style="0" width="17"/>
    <col collapsed="false" customWidth="true" hidden="false" outlineLevel="0" max="5" min="5" style="0" width="48"/>
    <col collapsed="false" customWidth="true" hidden="false" outlineLevel="0" max="6" min="6" style="0" width="58"/>
    <col collapsed="false" customWidth="true" hidden="false" outlineLevel="0" max="7" min="7" style="0" width="14"/>
  </cols>
  <sheetData>
    <row r="1" customFormat="false" ht="18.55" hidden="false" customHeight="false" outlineLevel="0" collapsed="false">
      <c r="A1" s="1" t="s">
        <v>0</v>
      </c>
    </row>
    <row r="2" customFormat="false" ht="27.75" hidden="false" customHeight="true" outlineLevel="0" collapsed="false">
      <c r="A2" s="2" t="s">
        <v>1</v>
      </c>
    </row>
    <row r="4" customFormat="false" ht="31.5" hidden="false" customHeight="true" outlineLevel="0" collapsed="false">
      <c r="A4" s="3" t="s">
        <v>2</v>
      </c>
      <c r="B4" s="3" t="s">
        <v>3</v>
      </c>
      <c r="C4" s="3" t="s">
        <v>4</v>
      </c>
      <c r="D4" s="3" t="s">
        <v>5</v>
      </c>
      <c r="E4" s="3" t="s">
        <v>6</v>
      </c>
      <c r="F4" s="3" t="s">
        <v>7</v>
      </c>
      <c r="G4" s="3" t="s">
        <v>8</v>
      </c>
    </row>
    <row r="5" customFormat="false" ht="51.75" hidden="false" customHeight="true" outlineLevel="0" collapsed="false">
      <c r="A5" s="4" t="s">
        <v>9</v>
      </c>
      <c r="B5" s="5" t="n">
        <v>0.1</v>
      </c>
      <c r="C5" s="5" t="n">
        <v>0.25</v>
      </c>
      <c r="D5" s="5" t="n">
        <v>0.5</v>
      </c>
      <c r="E5" s="6"/>
      <c r="F5" s="7" t="s">
        <v>10</v>
      </c>
      <c r="G5" s="8" t="s">
        <v>11</v>
      </c>
    </row>
    <row r="6" customFormat="false" ht="51.75" hidden="false" customHeight="true" outlineLevel="0" collapsed="false">
      <c r="A6" s="4" t="s">
        <v>12</v>
      </c>
      <c r="B6" s="9" t="n">
        <v>100000</v>
      </c>
      <c r="C6" s="9" t="n">
        <v>250000</v>
      </c>
      <c r="D6" s="9" t="n">
        <v>1000000</v>
      </c>
      <c r="E6" s="6"/>
      <c r="F6" s="7" t="s">
        <v>13</v>
      </c>
      <c r="G6" s="8" t="s">
        <v>11</v>
      </c>
    </row>
    <row r="7" customFormat="false" ht="51.75" hidden="false" customHeight="true" outlineLevel="0" collapsed="false">
      <c r="A7" s="4" t="s">
        <v>14</v>
      </c>
      <c r="B7" s="9" t="n">
        <v>400000</v>
      </c>
      <c r="C7" s="9" t="n">
        <v>2250000</v>
      </c>
      <c r="D7" s="9" t="n">
        <v>11000000</v>
      </c>
      <c r="E7" s="6"/>
      <c r="F7" s="7" t="s">
        <v>15</v>
      </c>
      <c r="G7" s="8" t="s">
        <v>16</v>
      </c>
    </row>
    <row r="8" customFormat="false" ht="15" hidden="false" customHeight="false" outlineLevel="0" collapsed="false">
      <c r="A8" s="10" t="s">
        <v>17</v>
      </c>
      <c r="B8" s="11" t="n">
        <f aca="false">B6+B7</f>
        <v>500000</v>
      </c>
      <c r="C8" s="11" t="n">
        <f aca="false">C6+C7</f>
        <v>2500000</v>
      </c>
      <c r="D8" s="11" t="n">
        <f aca="false">D6+D7</f>
        <v>12000000</v>
      </c>
      <c r="E8" s="6"/>
      <c r="F8" s="12" t="s">
        <v>18</v>
      </c>
      <c r="G8" s="6"/>
    </row>
    <row r="9" customFormat="false" ht="30" hidden="false" customHeight="true" outlineLevel="0" collapsed="false">
      <c r="A9" s="10" t="s">
        <v>19</v>
      </c>
      <c r="B9" s="13" t="n">
        <f aca="false">B5*B8</f>
        <v>50000</v>
      </c>
      <c r="C9" s="13" t="n">
        <f aca="false">C5*C8</f>
        <v>625000</v>
      </c>
      <c r="D9" s="13" t="n">
        <f aca="false">D5*D8</f>
        <v>6000000</v>
      </c>
      <c r="E9" s="14" t="str">
        <f aca="false">"$"&amp;TEXT(B9,"#,##0")&amp;"  to  $"&amp;TEXT(D9,"#,##0")&amp;"      |      Most Likely  $"&amp;TEXT(C9,"#,##0")</f>
        <v>$50,000  to  $6,000,000      |      Most Likely  $625,000</v>
      </c>
      <c r="F9" s="12" t="s">
        <v>20</v>
      </c>
      <c r="G9" s="6"/>
    </row>
    <row r="11" customFormat="false" ht="15" hidden="false" customHeight="false" outlineLevel="0" collapsed="false">
      <c r="A11" s="15" t="s">
        <v>21</v>
      </c>
    </row>
    <row r="12" customFormat="false" ht="15" hidden="false" customHeight="false" outlineLevel="0" collapsed="false">
      <c r="A12" s="16" t="s">
        <v>22</v>
      </c>
      <c r="B12" s="17" t="n">
        <f aca="false">B9</f>
        <v>50000</v>
      </c>
    </row>
    <row r="13" customFormat="false" ht="15" hidden="false" customHeight="false" outlineLevel="0" collapsed="false">
      <c r="A13" s="10" t="s">
        <v>23</v>
      </c>
      <c r="B13" s="18" t="n">
        <f aca="false">C9</f>
        <v>625000</v>
      </c>
    </row>
    <row r="14" customFormat="false" ht="15" hidden="false" customHeight="false" outlineLevel="0" collapsed="false">
      <c r="A14" s="16" t="s">
        <v>24</v>
      </c>
      <c r="B14" s="17" t="n">
        <f aca="false">D9</f>
        <v>6000000</v>
      </c>
    </row>
    <row r="15" customFormat="false" ht="15" hidden="false" customHeight="false" outlineLevel="0" collapsed="false">
      <c r="A15" s="16" t="s">
        <v>25</v>
      </c>
      <c r="B15" s="19" t="n">
        <f aca="false">B8</f>
        <v>500000</v>
      </c>
      <c r="C15" s="19" t="n">
        <f aca="false">C8</f>
        <v>2500000</v>
      </c>
      <c r="D15" s="19" t="n">
        <f aca="false">D8</f>
        <v>12000000</v>
      </c>
    </row>
    <row r="17" customFormat="false" ht="13.5" hidden="false" customHeight="true" outlineLevel="0" collapsed="false">
      <c r="A17" s="20" t="s">
        <v>26</v>
      </c>
      <c r="B17" s="20"/>
      <c r="C17" s="20"/>
      <c r="D17" s="20"/>
      <c r="E17" s="20"/>
      <c r="F17" s="20"/>
      <c r="G17" s="20"/>
    </row>
    <row r="18" customFormat="false" ht="27.75" hidden="false" customHeight="true" outlineLevel="0" collapsed="false">
      <c r="A18" s="20" t="s">
        <v>27</v>
      </c>
      <c r="B18" s="20"/>
      <c r="C18" s="20"/>
      <c r="D18" s="20"/>
      <c r="E18" s="20"/>
      <c r="F18" s="20"/>
      <c r="G18" s="20"/>
    </row>
    <row r="19" customFormat="false" ht="42" hidden="false" customHeight="true" outlineLevel="0" collapsed="false">
      <c r="A19" s="20" t="s">
        <v>28</v>
      </c>
      <c r="B19" s="20"/>
      <c r="C19" s="20"/>
      <c r="D19" s="20"/>
      <c r="E19" s="20"/>
      <c r="F19" s="20"/>
      <c r="G19" s="20"/>
    </row>
    <row r="20" customFormat="false" ht="27.75" hidden="false" customHeight="true" outlineLevel="0" collapsed="false">
      <c r="A20" s="20" t="s">
        <v>29</v>
      </c>
      <c r="B20" s="20"/>
      <c r="C20" s="20"/>
      <c r="D20" s="20"/>
      <c r="E20" s="20"/>
      <c r="F20" s="20"/>
      <c r="G20" s="20"/>
    </row>
    <row r="21" customFormat="false" ht="13.5" hidden="false" customHeight="true" outlineLevel="0" collapsed="false">
      <c r="A21" s="20" t="s">
        <v>30</v>
      </c>
      <c r="B21" s="20"/>
      <c r="C21" s="20"/>
      <c r="D21" s="20"/>
      <c r="E21" s="20"/>
      <c r="F21" s="20"/>
      <c r="G21" s="20"/>
    </row>
  </sheetData>
  <mergeCells count="5">
    <mergeCell ref="A17:G17"/>
    <mergeCell ref="A18:G18"/>
    <mergeCell ref="A19:G19"/>
    <mergeCell ref="A20:G20"/>
    <mergeCell ref="A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4"/>
    <col collapsed="false" customWidth="true" hidden="false" outlineLevel="0" max="4" min="4" style="0" width="12"/>
    <col collapsed="false" customWidth="true" hidden="false" outlineLevel="0" max="5" min="5" style="0" width="34"/>
    <col collapsed="false" customWidth="true" hidden="false" outlineLevel="0" max="6" min="6" style="0" width="54"/>
    <col collapsed="false" customWidth="true" hidden="false" outlineLevel="0" max="7" min="7" style="0" width="50"/>
    <col collapsed="false" customWidth="true" hidden="false" outlineLevel="0" max="8" min="8" style="0" width="16"/>
  </cols>
  <sheetData>
    <row r="1" customFormat="false" ht="17.35" hidden="false" customHeight="false" outlineLevel="0" collapsed="false">
      <c r="A1" s="21" t="s">
        <v>31</v>
      </c>
    </row>
    <row r="2" customFormat="false" ht="15" hidden="false" customHeight="false" outlineLevel="0" collapsed="false">
      <c r="A2" s="22" t="s">
        <v>32</v>
      </c>
    </row>
    <row r="4" customFormat="false" ht="31.5" hidden="false" customHeight="true" outlineLevel="0" collapsed="false">
      <c r="A4" s="3" t="s">
        <v>33</v>
      </c>
      <c r="B4" s="3" t="s">
        <v>34</v>
      </c>
      <c r="C4" s="3" t="s">
        <v>35</v>
      </c>
      <c r="D4" s="3" t="s">
        <v>36</v>
      </c>
      <c r="E4" s="3" t="s">
        <v>37</v>
      </c>
      <c r="F4" s="3" t="s">
        <v>38</v>
      </c>
      <c r="G4" s="3" t="s">
        <v>39</v>
      </c>
      <c r="H4" s="3" t="s">
        <v>8</v>
      </c>
    </row>
    <row r="5" customFormat="false" ht="87.75" hidden="false" customHeight="true" outlineLevel="0" collapsed="false">
      <c r="A5" s="23" t="s">
        <v>40</v>
      </c>
      <c r="B5" s="24" t="s">
        <v>41</v>
      </c>
      <c r="C5" s="24" t="s">
        <v>42</v>
      </c>
      <c r="D5" s="24" t="s">
        <v>43</v>
      </c>
      <c r="E5" s="25" t="s">
        <v>44</v>
      </c>
      <c r="F5" s="25" t="s">
        <v>45</v>
      </c>
      <c r="G5" s="25" t="s">
        <v>46</v>
      </c>
      <c r="H5" s="24" t="s">
        <v>11</v>
      </c>
    </row>
    <row r="6" customFormat="false" ht="87.75" hidden="false" customHeight="true" outlineLevel="0" collapsed="false">
      <c r="A6" s="26" t="s">
        <v>47</v>
      </c>
      <c r="B6" s="27" t="s">
        <v>48</v>
      </c>
      <c r="C6" s="27" t="s">
        <v>49</v>
      </c>
      <c r="D6" s="27" t="s">
        <v>50</v>
      </c>
      <c r="E6" s="28" t="s">
        <v>44</v>
      </c>
      <c r="F6" s="28" t="s">
        <v>51</v>
      </c>
      <c r="G6" s="28" t="s">
        <v>52</v>
      </c>
      <c r="H6" s="27" t="s">
        <v>11</v>
      </c>
    </row>
    <row r="7" customFormat="false" ht="87.75" hidden="false" customHeight="true" outlineLevel="0" collapsed="false">
      <c r="A7" s="23" t="s">
        <v>53</v>
      </c>
      <c r="B7" s="24" t="s">
        <v>54</v>
      </c>
      <c r="C7" s="24" t="s">
        <v>55</v>
      </c>
      <c r="D7" s="24" t="s">
        <v>56</v>
      </c>
      <c r="E7" s="25" t="s">
        <v>44</v>
      </c>
      <c r="F7" s="25" t="s">
        <v>57</v>
      </c>
      <c r="G7" s="25" t="s">
        <v>58</v>
      </c>
      <c r="H7" s="24" t="s">
        <v>59</v>
      </c>
    </row>
    <row r="8" customFormat="false" ht="87.75" hidden="false" customHeight="true" outlineLevel="0" collapsed="false">
      <c r="A8" s="26" t="s">
        <v>60</v>
      </c>
      <c r="B8" s="27" t="s">
        <v>61</v>
      </c>
      <c r="C8" s="27" t="s">
        <v>62</v>
      </c>
      <c r="D8" s="27" t="s">
        <v>63</v>
      </c>
      <c r="E8" s="28" t="s">
        <v>64</v>
      </c>
      <c r="F8" s="28" t="s">
        <v>65</v>
      </c>
      <c r="G8" s="28" t="s">
        <v>66</v>
      </c>
      <c r="H8" s="27" t="s">
        <v>67</v>
      </c>
    </row>
    <row r="9" customFormat="false" ht="87.75" hidden="false" customHeight="true" outlineLevel="0" collapsed="false">
      <c r="A9" s="23" t="s">
        <v>68</v>
      </c>
      <c r="B9" s="24" t="s">
        <v>69</v>
      </c>
      <c r="C9" s="24" t="s">
        <v>70</v>
      </c>
      <c r="D9" s="24" t="s">
        <v>71</v>
      </c>
      <c r="E9" s="25" t="s">
        <v>72</v>
      </c>
      <c r="F9" s="25" t="s">
        <v>73</v>
      </c>
      <c r="G9" s="25" t="s">
        <v>74</v>
      </c>
      <c r="H9" s="24"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4" min="2" style="0" width="10"/>
    <col collapsed="false" customWidth="true" hidden="false" outlineLevel="0" max="8" min="5" style="0" width="14"/>
    <col collapsed="false" customWidth="true" hidden="false" outlineLevel="0" max="9" min="9" style="0" width="16"/>
    <col collapsed="false" customWidth="true" hidden="false" outlineLevel="0" max="10" min="10" style="0" width="14"/>
    <col collapsed="false" customWidth="true" hidden="false" outlineLevel="0" max="11" min="11" style="0" width="16"/>
  </cols>
  <sheetData>
    <row r="1" customFormat="false" ht="17.35" hidden="false" customHeight="false" outlineLevel="0" collapsed="false">
      <c r="A1" s="21" t="s">
        <v>75</v>
      </c>
    </row>
    <row r="3" customFormat="false" ht="43.5" hidden="false" customHeight="true" outlineLevel="0" collapsed="false">
      <c r="A3" s="29" t="s">
        <v>76</v>
      </c>
      <c r="B3" s="29"/>
      <c r="C3" s="29"/>
      <c r="D3" s="29"/>
      <c r="E3" s="29"/>
      <c r="F3" s="29"/>
      <c r="G3" s="29"/>
      <c r="H3" s="29"/>
      <c r="I3" s="29"/>
      <c r="J3" s="29"/>
      <c r="K3" s="29"/>
    </row>
    <row r="5" customFormat="false" ht="15" hidden="false" customHeight="false" outlineLevel="0" collapsed="false">
      <c r="A5" s="30" t="s">
        <v>77</v>
      </c>
    </row>
    <row r="6" customFormat="false" ht="15" hidden="false" customHeight="false" outlineLevel="0" collapsed="false">
      <c r="A6" s="31" t="s">
        <v>78</v>
      </c>
      <c r="B6" s="32" t="n">
        <v>0.8</v>
      </c>
    </row>
    <row r="7" customFormat="false" ht="15" hidden="false" customHeight="false" outlineLevel="0" collapsed="false">
      <c r="A7" s="31" t="s">
        <v>79</v>
      </c>
      <c r="B7" s="32" t="n">
        <v>0.6</v>
      </c>
    </row>
    <row r="9" customFormat="false" ht="30" hidden="false" customHeight="true" outlineLevel="0" collapsed="false">
      <c r="A9" s="33" t="s">
        <v>80</v>
      </c>
      <c r="B9" s="33" t="s">
        <v>81</v>
      </c>
      <c r="C9" s="33" t="s">
        <v>82</v>
      </c>
      <c r="D9" s="33" t="s">
        <v>83</v>
      </c>
      <c r="E9" s="33" t="s">
        <v>84</v>
      </c>
      <c r="F9" s="33" t="s">
        <v>85</v>
      </c>
      <c r="G9" s="33" t="s">
        <v>86</v>
      </c>
      <c r="H9" s="33" t="s">
        <v>87</v>
      </c>
      <c r="I9" s="33" t="s">
        <v>88</v>
      </c>
      <c r="J9" s="33" t="s">
        <v>89</v>
      </c>
      <c r="K9" s="33" t="s">
        <v>90</v>
      </c>
    </row>
    <row r="10" customFormat="false" ht="33.75" hidden="false" customHeight="true" outlineLevel="0" collapsed="false">
      <c r="A10" s="4" t="s">
        <v>91</v>
      </c>
      <c r="B10" s="34" t="n">
        <f aca="false">'FAIR Quantitative Model'!B5</f>
        <v>0.1</v>
      </c>
      <c r="C10" s="34" t="n">
        <f aca="false">'FAIR Quantitative Model'!C5</f>
        <v>0.25</v>
      </c>
      <c r="D10" s="34" t="n">
        <f aca="false">'FAIR Quantitative Model'!D5</f>
        <v>0.5</v>
      </c>
      <c r="E10" s="11" t="n">
        <f aca="false">'FAIR Quantitative Model'!B8</f>
        <v>500000</v>
      </c>
      <c r="F10" s="11" t="n">
        <f aca="false">'FAIR Quantitative Model'!C8</f>
        <v>2500000</v>
      </c>
      <c r="G10" s="11" t="n">
        <f aca="false">'FAIR Quantitative Model'!D8</f>
        <v>12000000</v>
      </c>
      <c r="H10" s="13" t="n">
        <f aca="false">B10*E10</f>
        <v>50000</v>
      </c>
      <c r="I10" s="13" t="n">
        <f aca="false">C10*F10</f>
        <v>625000</v>
      </c>
      <c r="J10" s="13" t="n">
        <f aca="false">D10*G10</f>
        <v>6000000</v>
      </c>
      <c r="K10" s="35" t="n">
        <f aca="false">IF(J$10=0,0,1-J10/J$10)</f>
        <v>0</v>
      </c>
    </row>
    <row r="11" customFormat="false" ht="33.75" hidden="false" customHeight="true" outlineLevel="0" collapsed="false">
      <c r="A11" s="36" t="s">
        <v>92</v>
      </c>
      <c r="B11" s="34" t="n">
        <f aca="false">'FAIR Quantitative Model'!B5</f>
        <v>0.1</v>
      </c>
      <c r="C11" s="34" t="n">
        <f aca="false">'FAIR Quantitative Model'!C5</f>
        <v>0.25</v>
      </c>
      <c r="D11" s="34" t="n">
        <f aca="false">'FAIR Quantitative Model'!D5</f>
        <v>0.5</v>
      </c>
      <c r="E11" s="11" t="n">
        <f aca="false">'FAIR Quantitative Model'!B6+'FAIR Quantitative Model'!B7*(1-$B$6)</f>
        <v>180000</v>
      </c>
      <c r="F11" s="11" t="n">
        <f aca="false">'FAIR Quantitative Model'!C6+'FAIR Quantitative Model'!C7*(1-$B$6)</f>
        <v>700000</v>
      </c>
      <c r="G11" s="11" t="n">
        <f aca="false">'FAIR Quantitative Model'!D6+'FAIR Quantitative Model'!D7*(1-$B$6)</f>
        <v>3200000</v>
      </c>
      <c r="H11" s="13" t="n">
        <f aca="false">B11*E11</f>
        <v>18000</v>
      </c>
      <c r="I11" s="13" t="n">
        <f aca="false">C11*F11</f>
        <v>175000</v>
      </c>
      <c r="J11" s="13" t="n">
        <f aca="false">D11*G11</f>
        <v>1600000</v>
      </c>
      <c r="K11" s="35" t="n">
        <f aca="false">IF(J$10=0,0,1-J11/J$10)</f>
        <v>0.733333333333333</v>
      </c>
    </row>
    <row r="12" customFormat="false" ht="33.75" hidden="false" customHeight="true" outlineLevel="0" collapsed="false">
      <c r="A12" s="36" t="s">
        <v>93</v>
      </c>
      <c r="B12" s="34" t="n">
        <f aca="false">'FAIR Quantitative Model'!B5*(1-$B$7)</f>
        <v>0.04</v>
      </c>
      <c r="C12" s="34" t="n">
        <f aca="false">'FAIR Quantitative Model'!C5*(1-$B$7)</f>
        <v>0.1</v>
      </c>
      <c r="D12" s="34" t="n">
        <f aca="false">'FAIR Quantitative Model'!D5*(1-$B$7)</f>
        <v>0.2</v>
      </c>
      <c r="E12" s="11" t="n">
        <f aca="false">'FAIR Quantitative Model'!B8</f>
        <v>500000</v>
      </c>
      <c r="F12" s="11" t="n">
        <f aca="false">'FAIR Quantitative Model'!C8</f>
        <v>2500000</v>
      </c>
      <c r="G12" s="11" t="n">
        <f aca="false">'FAIR Quantitative Model'!D8</f>
        <v>12000000</v>
      </c>
      <c r="H12" s="13" t="n">
        <f aca="false">B12*E12</f>
        <v>20000</v>
      </c>
      <c r="I12" s="13" t="n">
        <f aca="false">C12*F12</f>
        <v>250000</v>
      </c>
      <c r="J12" s="13" t="n">
        <f aca="false">D12*G12</f>
        <v>2400000</v>
      </c>
      <c r="K12" s="35" t="n">
        <f aca="false">IF(J$10=0,0,1-J12/J$10)</f>
        <v>0.6</v>
      </c>
    </row>
    <row r="13" customFormat="false" ht="33.75" hidden="false" customHeight="true" outlineLevel="0" collapsed="false">
      <c r="A13" s="4" t="s">
        <v>94</v>
      </c>
      <c r="B13" s="34" t="n">
        <f aca="false">'FAIR Quantitative Model'!B5*(1-$B$7)</f>
        <v>0.04</v>
      </c>
      <c r="C13" s="34" t="n">
        <f aca="false">'FAIR Quantitative Model'!C5*(1-$B$7)</f>
        <v>0.1</v>
      </c>
      <c r="D13" s="34" t="n">
        <f aca="false">'FAIR Quantitative Model'!D5*(1-$B$7)</f>
        <v>0.2</v>
      </c>
      <c r="E13" s="11" t="n">
        <f aca="false">'FAIR Quantitative Model'!B6+'FAIR Quantitative Model'!B7*(1-$B$6)</f>
        <v>180000</v>
      </c>
      <c r="F13" s="11" t="n">
        <f aca="false">'FAIR Quantitative Model'!C6+'FAIR Quantitative Model'!C7*(1-$B$6)</f>
        <v>700000</v>
      </c>
      <c r="G13" s="11" t="n">
        <f aca="false">'FAIR Quantitative Model'!D6+'FAIR Quantitative Model'!D7*(1-$B$6)</f>
        <v>3200000</v>
      </c>
      <c r="H13" s="13" t="n">
        <f aca="false">B13*E13</f>
        <v>7200</v>
      </c>
      <c r="I13" s="13" t="n">
        <f aca="false">C13*F13</f>
        <v>70000</v>
      </c>
      <c r="J13" s="13" t="n">
        <f aca="false">D13*G13</f>
        <v>640000</v>
      </c>
      <c r="K13" s="35" t="n">
        <f aca="false">IF(J$10=0,0,1-J13/J$10)</f>
        <v>0.893333333333333</v>
      </c>
    </row>
    <row r="15" customFormat="false" ht="45.75" hidden="false" customHeight="true" outlineLevel="0" collapsed="false">
      <c r="A15" s="20" t="s">
        <v>95</v>
      </c>
      <c r="B15" s="20"/>
      <c r="C15" s="20"/>
      <c r="D15" s="20"/>
      <c r="E15" s="20"/>
      <c r="F15" s="20"/>
      <c r="G15" s="20"/>
      <c r="H15" s="20"/>
      <c r="I15" s="20"/>
      <c r="J15" s="20"/>
      <c r="K15" s="20"/>
    </row>
  </sheetData>
  <mergeCells count="2">
    <mergeCell ref="A3:K3"/>
    <mergeCell ref="A15:K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2026-08-25T08:23:12Z</dcterms:created>
  <dc:creator>openpyxl</dc:creator>
  <dc:description/>
  <dc:language>en-US</dc:language>
  <cp:lastModifiedBy/>
  <dcterms:modified xsi:type="dcterms:W3CDTF">2026-08-25T08:23:12Z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